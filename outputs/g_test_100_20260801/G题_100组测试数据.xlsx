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5351d90e3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目约束" sheetId="1" r:id="R62fdd468fa9342ba"/>
    <x:sheet xmlns:r="http://schemas.openxmlformats.org/officeDocument/2006/relationships" name="测试用例" sheetId="2" r:id="R58356eece4be40fe"/>
    <x:sheet xmlns:r="http://schemas.openxmlformats.org/officeDocument/2006/relationships" name="测试记录" sheetId="3" r:id="R276b485e69c0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0.000000"/>
    <x:numFmt numFmtId="203" formatCode="0.000"/>
    <x:numFmt numFmtId="204" formatCode="0.00"/>
    <x:numFmt numFmtId="205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FFFFFF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b/>
      <x:sz val="11"/>
      <x:color rgb="FF1F2937"/>
      <x:name val="Microsoft YaHei"/>
    </x:font>
    <x:font>
      <x:b/>
      <x:sz val="15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245B8A"/>
      </x:patternFill>
    </x:fill>
    <x:fill>
      <x:patternFill patternType="solid">
        <x:fgColor rgb="FFEAF3F8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12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</x:border>
  </x:borders>
  <x:cellStyleXfs count="1">
    <x:xf numFmtId="0" fontId="0" fillId="0" borderId="0"/>
  </x:cellStyleXfs>
  <x:cellXfs count="1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3" xfId="0" applyNumberFormat="1" applyFont="1" applyFill="1" applyBorder="1"/>
    <x:xf numFmtId="0" fontId="3" fillId="5" borderId="4" xfId="0" applyNumberFormat="1" applyFont="1" applyFill="1" applyBorder="1"/>
    <x:xf numFmtId="0" fontId="0" fillId="0" borderId="5" xfId="0" applyNumberFormat="1" applyFont="1" applyFill="1" applyBorder="1"/>
    <x:xf numFmtId="0" fontId="3" fillId="5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7" fillId="5" borderId="4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7" fillId="5" borderId="6" xfId="0" applyNumberFormat="1" applyFont="1" applyFill="1" applyBorder="1"/>
    <x:xf numFmtId="0" fontId="5" fillId="0" borderId="7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4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5" fillId="4" borderId="0" xfId="0" applyNumberFormat="1" applyFont="1" applyFill="1" applyBorder="1"/>
    <x:xf numFmtId="0" fontId="6" fillId="3" borderId="7" xfId="0" applyNumberFormat="1" applyFont="1" applyFill="1" applyBorder="1" applyAlignment="1">
      <x:alignment horizontal="center" vertical="center" wrapText="1"/>
    </x:xf>
    <x:xf numFmtId="0" fontId="6" fillId="3" borderId="8" xfId="0" applyNumberFormat="1" applyFont="1" applyFill="1" applyBorder="1" applyAlignment="1">
      <x:alignment horizontal="center" vertical="center" wrapText="1"/>
    </x:xf>
    <x:xf numFmtId="0" fontId="6" fillId="3" borderId="6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/>
    <x:xf numFmtId="0" fontId="5" fillId="6" borderId="1" xfId="0" applyNumberFormat="1" applyFont="1" applyFill="1" applyBorder="1"/>
    <x:xf numFmtId="0" fontId="5" fillId="4" borderId="1" xfId="0" applyNumberFormat="1" applyFont="1" applyFill="1" applyBorder="1"/>
    <x:xf numFmtId="0" fontId="5" fillId="6" borderId="10" xfId="0" applyNumberFormat="1" applyFont="1" applyFill="1" applyBorder="1"/>
    <x:xf numFmtId="0" fontId="5" fillId="6" borderId="3" xfId="0" applyNumberFormat="1" applyFont="1" applyFill="1" applyBorder="1"/>
    <x:xf numFmtId="0" fontId="5" fillId="6" borderId="11" xfId="0" applyNumberFormat="1" applyFont="1" applyFill="1" applyBorder="1"/>
    <x:xf numFmtId="0" fontId="5" fillId="4" borderId="11" xfId="0" applyNumberFormat="1" applyFont="1" applyFill="1" applyBorder="1"/>
    <x:xf numFmtId="0" fontId="5" fillId="6" borderId="2" xfId="0" applyNumberFormat="1" applyFont="1" applyFill="1" applyBorder="1"/>
    <x:xf numFmtId="200" fontId="5" fillId="6" borderId="1" xfId="0" applyNumberFormat="1" applyFont="1" applyFill="1" applyBorder="1"/>
    <x:xf numFmtId="200" fontId="5" fillId="6" borderId="11" xfId="0" applyNumberFormat="1" applyFont="1" applyFill="1" applyBorder="1"/>
    <x:xf numFmtId="201" fontId="5" fillId="6" borderId="1" xfId="0" applyNumberFormat="1" applyFont="1" applyFill="1" applyBorder="1"/>
    <x:xf numFmtId="201" fontId="5" fillId="6" borderId="11" xfId="0" applyNumberFormat="1" applyFont="1" applyFill="1" applyBorder="1"/>
    <x:xf numFmtId="202" fontId="5" fillId="6" borderId="1" xfId="0" applyNumberFormat="1" applyFont="1" applyFill="1" applyBorder="1"/>
    <x:xf numFmtId="202" fontId="5" fillId="6" borderId="11" xfId="0" applyNumberFormat="1" applyFont="1" applyFill="1" applyBorder="1"/>
    <x:xf numFmtId="203" fontId="5" fillId="4" borderId="1" xfId="0" applyNumberFormat="1" applyFont="1" applyFill="1" applyBorder="1"/>
    <x:xf numFmtId="203" fontId="5" fillId="4" borderId="11" xfId="0" applyNumberFormat="1" applyFont="1" applyFill="1" applyBorder="1"/>
    <x:xf numFmtId="204" fontId="5" fillId="6" borderId="1" xfId="0" applyNumberFormat="1" applyFont="1" applyFill="1" applyBorder="1"/>
    <x:xf numFmtId="204" fontId="5" fillId="6" borderId="11" xfId="0" applyNumberFormat="1" applyFont="1" applyFill="1" applyBorder="1"/>
    <x:xf numFmtId="0" fontId="5" fillId="6" borderId="9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/>
    </x:xf>
    <x:xf numFmtId="0" fontId="5" fillId="6" borderId="3" xfId="0" applyNumberFormat="1" applyFont="1" applyFill="1" applyBorder="1" applyAlignment="1">
      <x:alignment horizontal="center"/>
    </x:xf>
    <x:xf numFmtId="0" fontId="5" fillId="6" borderId="11" xfId="0" applyNumberFormat="1" applyFont="1" applyFill="1" applyBorder="1" applyAlignment="1">
      <x:alignment horizontal="center"/>
    </x:xf>
    <x:xf numFmtId="200" fontId="5" fillId="6" borderId="1" xfId="0" applyNumberFormat="1" applyFont="1" applyFill="1" applyBorder="1" applyAlignment="1">
      <x:alignment horizontal="right"/>
    </x:xf>
    <x:xf numFmtId="0" fontId="5" fillId="6" borderId="1" xfId="0" applyNumberFormat="1" applyFont="1" applyFill="1" applyBorder="1" applyAlignment="1">
      <x:alignment horizontal="right"/>
    </x:xf>
    <x:xf numFmtId="201" fontId="5" fillId="6" borderId="1" xfId="0" applyNumberFormat="1" applyFont="1" applyFill="1" applyBorder="1" applyAlignment="1">
      <x:alignment horizontal="right"/>
    </x:xf>
    <x:xf numFmtId="202" fontId="5" fillId="6" borderId="1" xfId="0" applyNumberFormat="1" applyFont="1" applyFill="1" applyBorder="1" applyAlignment="1">
      <x:alignment horizontal="right"/>
    </x:xf>
    <x:xf numFmtId="203" fontId="5" fillId="4" borderId="1" xfId="0" applyNumberFormat="1" applyFont="1" applyFill="1" applyBorder="1" applyAlignment="1">
      <x:alignment horizontal="right"/>
    </x:xf>
    <x:xf numFmtId="204" fontId="5" fillId="6" borderId="1" xfId="0" applyNumberFormat="1" applyFont="1" applyFill="1" applyBorder="1" applyAlignment="1">
      <x:alignment horizontal="right"/>
    </x:xf>
    <x:xf numFmtId="200" fontId="5" fillId="6" borderId="11" xfId="0" applyNumberFormat="1" applyFont="1" applyFill="1" applyBorder="1" applyAlignment="1">
      <x:alignment horizontal="right"/>
    </x:xf>
    <x:xf numFmtId="0" fontId="5" fillId="6" borderId="11" xfId="0" applyNumberFormat="1" applyFont="1" applyFill="1" applyBorder="1" applyAlignment="1">
      <x:alignment horizontal="right"/>
    </x:xf>
    <x:xf numFmtId="201" fontId="5" fillId="6" borderId="11" xfId="0" applyNumberFormat="1" applyFont="1" applyFill="1" applyBorder="1" applyAlignment="1">
      <x:alignment horizontal="right"/>
    </x:xf>
    <x:xf numFmtId="202" fontId="5" fillId="6" borderId="11" xfId="0" applyNumberFormat="1" applyFont="1" applyFill="1" applyBorder="1" applyAlignment="1">
      <x:alignment horizontal="right"/>
    </x:xf>
    <x:xf numFmtId="203" fontId="5" fillId="4" borderId="11" xfId="0" applyNumberFormat="1" applyFont="1" applyFill="1" applyBorder="1" applyAlignment="1">
      <x:alignment horizontal="right"/>
    </x:xf>
    <x:xf numFmtId="204" fontId="5" fillId="6" borderId="11" xfId="0" applyNumberFormat="1" applyFont="1" applyFill="1" applyBorder="1" applyAlignment="1">
      <x:alignment horizontal="right"/>
    </x:xf>
    <x:xf numFmtId="0" fontId="5" fillId="6" borderId="1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4" borderId="9" xfId="0" applyNumberFormat="1" applyFont="1" applyFill="1" applyBorder="1"/>
    <x:xf numFmtId="0" fontId="5" fillId="7" borderId="1" xfId="0" applyNumberFormat="1" applyFont="1" applyFill="1" applyBorder="1"/>
    <x:xf numFmtId="0" fontId="5" fillId="7" borderId="10" xfId="0" applyNumberFormat="1" applyFont="1" applyFill="1" applyBorder="1"/>
    <x:xf numFmtId="0" fontId="5" fillId="4" borderId="3" xfId="0" applyNumberFormat="1" applyFont="1" applyFill="1" applyBorder="1"/>
    <x:xf numFmtId="0" fontId="5" fillId="7" borderId="11" xfId="0" applyNumberFormat="1" applyFont="1" applyFill="1" applyBorder="1"/>
    <x:xf numFmtId="0" fontId="5" fillId="7" borderId="2" xfId="0" applyNumberFormat="1" applyFont="1" applyFill="1" applyBorder="1"/>
    <x:xf numFmtId="203" fontId="5" fillId="6" borderId="1" xfId="0" applyNumberFormat="1" applyFont="1" applyFill="1" applyBorder="1"/>
    <x:xf numFmtId="203" fontId="5" fillId="7" borderId="1" xfId="0" applyNumberFormat="1" applyFont="1" applyFill="1" applyBorder="1"/>
    <x:xf numFmtId="203" fontId="5" fillId="6" borderId="11" xfId="0" applyNumberFormat="1" applyFont="1" applyFill="1" applyBorder="1"/>
    <x:xf numFmtId="203" fontId="5" fillId="7" borderId="11" xfId="0" applyNumberFormat="1" applyFont="1" applyFill="1" applyBorder="1"/>
    <x:xf numFmtId="205" fontId="5" fillId="6" borderId="1" xfId="0" applyNumberFormat="1" applyFont="1" applyFill="1" applyBorder="1"/>
    <x:xf numFmtId="205" fontId="5" fillId="6" borderId="11" xfId="0" applyNumberFormat="1" applyFont="1" applyFill="1" applyBorder="1"/>
    <x:xf numFmtId="0" fontId="5" fillId="4" borderId="9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/>
    </x:xf>
    <x:xf numFmtId="0" fontId="5" fillId="4" borderId="3" xfId="0" applyNumberFormat="1" applyFont="1" applyFill="1" applyBorder="1" applyAlignment="1">
      <x:alignment horizontal="center"/>
    </x:xf>
    <x:xf numFmtId="0" fontId="5" fillId="4" borderId="1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/>
    </x:xf>
    <x:xf numFmtId="0" fontId="5" fillId="7" borderId="10" xfId="0" applyNumberFormat="1" applyFont="1" applyFill="1" applyBorder="1" applyAlignment="1">
      <x:alignment horizontal="center"/>
    </x:xf>
    <x:xf numFmtId="0" fontId="5" fillId="7" borderId="11" xfId="0" applyNumberFormat="1" applyFont="1" applyFill="1" applyBorder="1" applyAlignment="1">
      <x:alignment horizontal="center"/>
    </x:xf>
    <x:xf numFmtId="0" fontId="5" fillId="7" borderId="2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8131eeda74e74" /><Relationship Type="http://schemas.openxmlformats.org/officeDocument/2006/relationships/theme" Target="/xl/theme/theme1.xml" Id="R4227fbeeb83247f1" /><Relationship Type="http://schemas.openxmlformats.org/officeDocument/2006/relationships/sharedStrings" Target="/xl/sharedStrings.xml" Id="R4c8032c92bf94b6d" /><Relationship Type="http://schemas.openxmlformats.org/officeDocument/2006/relationships/worksheet" Target="/xl/worksheets/sheet1.xml" Id="R62fdd468fa9342ba" /><Relationship Type="http://schemas.openxmlformats.org/officeDocument/2006/relationships/worksheet" Target="/xl/worksheets/sheet2.xml" Id="R58356eece4be40fe" /><Relationship Type="http://schemas.openxmlformats.org/officeDocument/2006/relationships/worksheet" Target="/xl/worksheets/sheet3.xml" Id="R276b485e69c048e9" /></Relationships>
</file>

<file path=xl/tables/table1.xml><?xml version="1.0" encoding="utf-8"?>
<x:table xmlns:x="http://schemas.openxmlformats.org/spreadsheetml/2006/main" id="1" name="GTestCases" displayName="GTestCases" ref="A4:Z104" headerRowCount="1" totalsRowCount="0" totalsRowShown="0">
  <x:tableColumns count="26">
    <x:tableColumn id="1" name="编号"/>
    <x:tableColumn id="2" name="题目项"/>
    <x:tableColumn id="3" name="信号"/>
    <x:tableColumn id="4" name="覆盖类型"/>
    <x:tableColumn id="5" name="目标总Vpp_mV"/>
    <x:tableColumn id="6" name="基频_kHz"/>
    <x:tableColumn id="7" name="谐波数"/>
    <x:tableColumn id="8" name="谐波A阶次"/>
    <x:tableColumn id="9" name="谐波A频率_kHz"/>
    <x:tableColumn id="10" name="谐波A/H1"/>
    <x:tableColumn id="11" name="谐波A相位_deg"/>
    <x:tableColumn id="12" name="谐波B阶次"/>
    <x:tableColumn id="13" name="谐波B频率_kHz"/>
    <x:tableColumn id="14" name="谐波B/H1"/>
    <x:tableColumn id="15" name="谐波B相位_deg"/>
    <x:tableColumn id="16" name="形状Vpp因子"/>
    <x:tableColumn id="17" name="基波峰值_mV"/>
    <x:tableColumn id="18" name="基波分量Vpp_mV"/>
    <x:tableColumn id="19" name="谐波A峰值_mV"/>
    <x:tableColumn id="20" name="谐波A分量Vpp_mV"/>
    <x:tableColumn id="21" name="谐波B峰值_mV"/>
    <x:tableColumn id="22" name="谐波B分量Vpp_mV"/>
    <x:tableColumn id="23" name="理论RMS_mV"/>
    <x:tableColumn id="24" name="干扰Vpp_mV"/>
    <x:tableColumn id="25" name="干扰频率_MHz"/>
    <x:tableColumn id="26" name="备注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GTestRecords" displayName="GTestRecords" ref="A4:AA104" headerRowCount="1" totalsRowCount="0" totalsRowShown="0">
  <x:tableColumns count="27">
    <x:tableColumn id="1" name="编号"/>
    <x:tableColumn id="2" name="题目项"/>
    <x:tableColumn id="3" name="目标Vpp_mV"/>
    <x:tableColumn id="4" name="理论RMS_mV"/>
    <x:tableColumn id="5" name="基频_kHz"/>
    <x:tableColumn id="6" name="基波峰值_mV"/>
    <x:tableColumn id="7" name="谐波A峰值_mV"/>
    <x:tableColumn id="8" name="谐波B峰值_mV"/>
    <x:tableColumn id="9" name="实测Vpp_mV"/>
    <x:tableColumn id="10" name="Vpp误差_mV"/>
    <x:tableColumn id="11" name="实测RMS_mV"/>
    <x:tableColumn id="12" name="RMS误差_mV"/>
    <x:tableColumn id="13" name="实测基频_kHz"/>
    <x:tableColumn id="14" name="频率误差_kHz"/>
    <x:tableColumn id="15" name="实测基波_mV"/>
    <x:tableColumn id="16" name="基波误差_mV"/>
    <x:tableColumn id="17" name="实测谐波A_mV"/>
    <x:tableColumn id="18" name="谐波A误差_mV"/>
    <x:tableColumn id="19" name="实测谐波B_mV"/>
    <x:tableColumn id="20" name="谐波B误差_mV"/>
    <x:tableColumn id="21" name="完成时间_ms"/>
    <x:tableColumn id="22" name="Vpp判定"/>
    <x:tableColumn id="23" name="RMS判定"/>
    <x:tableColumn id="24" name="频率判定"/>
    <x:tableColumn id="25" name="谱幅判定"/>
    <x:tableColumn id="26" name="时间判定"/>
    <x:tableColumn id="27" name="综合判定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70f3d442ef4c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2c8ae7e0624f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6" hidden="0" customWidth="1"/>
    <x:col min="3" max="3" width="18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20" t="str">
        <x:v>G题周期信号测量分析装置 - 100组测试计划</x:v>
      </x:c>
      <x:c r="B1" s="20"/>
      <x:c r="C1" s="20"/>
      <x:c r="D1" s="20"/>
      <x:c r="E1" s="20"/>
      <x:c r="F1" s="20"/>
      <x:c r="G1" s="20"/>
      <x:c r="H1" s="20"/>
    </x:row>
    <x:row r="2" ht="22" customHeight="1">
      <x:c r="A2" s="21" t="str">
        <x:v>来源：G题_周期信号测量分析装置.pdf（第1-3页）；生成种子：20260801</x:v>
      </x:c>
      <x:c r="B2" s="21"/>
      <x:c r="C2" s="21"/>
      <x:c r="D2" s="21"/>
      <x:c r="E2" s="21"/>
      <x:c r="F2" s="21"/>
      <x:c r="G2" s="21"/>
      <x:c r="H2" s="21"/>
    </x:row>
    <x:row r="3" ht="22" customHeight="1">
      <x:c r="A3" s="21"/>
      <x:c r="B3" s="21"/>
      <x:c r="C3" s="21"/>
      <x:c r="D3" s="21"/>
      <x:c r="E3" s="21"/>
      <x:c r="F3" s="21"/>
      <x:c r="G3" s="21"/>
      <x:c r="H3" s="21"/>
    </x:row>
    <x:row r="4" ht="22" customHeight="1">
      <x:c r="A4" s="22" t="str">
        <x:v>题目项</x:v>
      </x:c>
      <x:c r="B4" s="22" t="str">
        <x:v>被测信号Vpp</x:v>
      </x:c>
      <x:c r="C4" s="22" t="str">
        <x:v>分量频率范围</x:v>
      </x:c>
      <x:c r="D4" s="22" t="str">
        <x:v>单频干扰</x:v>
      </x:c>
      <x:c r="E4" s="22" t="str">
        <x:v>测试组数</x:v>
      </x:c>
      <x:c r="F4" s="22" t="str">
        <x:v>Vpp/RMS/谱幅误差</x:v>
      </x:c>
      <x:c r="G4" s="22" t="str">
        <x:v>基频误差</x:v>
      </x:c>
      <x:c r="H4" s="22" t="str">
        <x:v>完成时间</x:v>
      </x:c>
    </x:row>
    <x:row r="5" ht="22" customHeight="1">
      <x:c r="A5" s="23" t="n">
        <x:v>1</x:v>
      </x:c>
      <x:c r="B5" s="23" t="str">
        <x:v>100-250 mVpp</x:v>
      </x:c>
      <x:c r="C5" s="23" t="str">
        <x:v>10-200 kHz</x:v>
      </x:c>
      <x:c r="D5" s="23" t="str">
        <x:v>无</x:v>
      </x:c>
      <x:c r="E5" s="23" t="n">
        <x:f>COUNTIF('测试用例'!$B$5:$B$104,A5)</x:f>
        <x:v>34</x:v>
      </x:c>
      <x:c r="F5" s="23" t="str">
        <x:v>≤5 mV</x:v>
      </x:c>
      <x:c r="G5" s="23" t="str">
        <x:v>≤1 kHz</x:v>
      </x:c>
      <x:c r="H5" s="23" t="str">
        <x:v>≤2000 ms</x:v>
      </x:c>
    </x:row>
    <x:row r="6" ht="22" customHeight="1">
      <x:c r="A6" s="23" t="n">
        <x:v>2</x:v>
      </x:c>
      <x:c r="B6" s="23" t="str">
        <x:v>50-250 mVpp</x:v>
      </x:c>
      <x:c r="C6" s="23" t="str">
        <x:v>10-500 kHz</x:v>
      </x:c>
      <x:c r="D6" s="23" t="str">
        <x:v>无</x:v>
      </x:c>
      <x:c r="E6" s="23" t="n">
        <x:f>COUNTIF('测试用例'!$B$5:$B$104,A6)</x:f>
        <x:v>33</x:v>
      </x:c>
      <x:c r="F6" s="23" t="str">
        <x:v>≤5 mV</x:v>
      </x:c>
      <x:c r="G6" s="23" t="str">
        <x:v>≤1 kHz</x:v>
      </x:c>
      <x:c r="H6" s="23" t="str">
        <x:v>≤2000 ms</x:v>
      </x:c>
    </x:row>
    <x:row r="7" ht="22" customHeight="1">
      <x:c r="A7" s="23" t="n">
        <x:v>3</x:v>
      </x:c>
      <x:c r="B7" s="23" t="str">
        <x:v>50-250 mVpp</x:v>
      </x:c>
      <x:c r="C7" s="23" t="str">
        <x:v>10-500 kHz</x:v>
      </x:c>
      <x:c r="D7" s="23" t="str">
        <x:v>200 mVpp，fJ≥1 MHz</x:v>
      </x:c>
      <x:c r="E7" s="23" t="n">
        <x:f>COUNTIF('测试用例'!$B$5:$B$104,A7)</x:f>
        <x:v>33</x:v>
      </x:c>
      <x:c r="F7" s="23" t="str">
        <x:v>≤5 mV</x:v>
      </x:c>
      <x:c r="G7" s="23" t="str">
        <x:v>≤1 kHz</x:v>
      </x:c>
      <x:c r="H7" s="23" t="str">
        <x:v>≤2000 ms</x:v>
      </x:c>
    </x:row>
    <x:row r="8" ht="22" customHeight="1">
      <x:c r="A8" s="21"/>
      <x:c r="B8" s="21"/>
      <x:c r="C8" s="21"/>
      <x:c r="D8" s="21"/>
      <x:c r="E8" s="21"/>
      <x:c r="F8" s="21"/>
      <x:c r="G8" s="21"/>
      <x:c r="H8" s="21"/>
    </x:row>
    <x:row r="9" ht="40" customHeight="1">
      <x:c r="A9" s="24" t="str">
        <x:v>通用约束</x:v>
      </x:c>
      <x:c r="B9" s="25" t="str">
        <x:v>被测周期信号由基波与1个或2个谐波分量组成。</x:v>
      </x:c>
      <x:c r="C9" s="21"/>
      <x:c r="D9" s="21"/>
      <x:c r="E9" s="21"/>
      <x:c r="F9" s="21"/>
      <x:c r="G9" s="21"/>
      <x:c r="H9" s="21"/>
    </x:row>
    <x:row r="10" ht="40" customHeight="1">
      <x:c r="A10" s="26" t="str">
        <x:v>有效值</x:v>
      </x:c>
      <x:c r="B10" s="27" t="str">
        <x:v>理论RMS为真有效值；不同整数次谐波的平方和开方。</x:v>
      </x:c>
      <x:c r="C10" s="21"/>
      <x:c r="D10" s="21"/>
      <x:c r="E10" s="21"/>
      <x:c r="F10" s="21"/>
      <x:c r="G10" s="21"/>
      <x:c r="H10" s="21"/>
    </x:row>
    <x:row r="11" ht="40" customHeight="1">
      <x:c r="A11" s="26" t="str">
        <x:v>频谱幅值</x:v>
      </x:c>
      <x:c r="B11" s="27" t="str">
        <x:v>基波/谐波A/谐波B列均为正弦分量峰值（Vpk），与题目频谱幅值定义一致。</x:v>
      </x:c>
      <x:c r="C11" s="21"/>
      <x:c r="D11" s="21"/>
      <x:c r="E11" s="21"/>
      <x:c r="F11" s="21"/>
      <x:c r="G11" s="21"/>
      <x:c r="H11" s="21"/>
    </x:row>
    <x:row r="12" ht="40" customHeight="1">
      <x:c r="A12" s="26" t="str">
        <x:v>信号源设置</x:v>
      </x:c>
      <x:c r="B12" s="27" t="str">
        <x:v>若谐波发生器按总Vpp归一化：设置目标总Vpp并按相对幅值、相位设置谐波。</x:v>
      </x:c>
      <x:c r="C12" s="21"/>
      <x:c r="D12" s="21"/>
      <x:c r="E12" s="21"/>
      <x:c r="F12" s="21"/>
      <x:c r="G12" s="21"/>
      <x:c r="H12" s="21"/>
    </x:row>
    <x:row r="13" ht="40" customHeight="1">
      <x:c r="A13" s="26" t="str">
        <x:v>独立分量模式</x:v>
      </x:c>
      <x:c r="B13" s="27" t="str">
        <x:v>若信号源可独立设置分量：使用测试用例中的基波/谐波A/谐波B分量Vpp。</x:v>
      </x:c>
      <x:c r="C13" s="21"/>
      <x:c r="D13" s="21"/>
      <x:c r="E13" s="21"/>
      <x:c r="F13" s="21"/>
      <x:c r="G13" s="21"/>
      <x:c r="H13" s="21"/>
    </x:row>
    <x:row r="14" ht="40" customHeight="1">
      <x:c r="A14" s="26" t="str">
        <x:v>形状因子</x:v>
      </x:c>
      <x:c r="B14" s="27" t="str">
        <x:v>按65536点/基波周期扫相计算；H1峰值=目标Vpp/形状Vpp因子。</x:v>
      </x:c>
      <x:c r="C14" s="21"/>
      <x:c r="D14" s="21"/>
      <x:c r="E14" s="21"/>
      <x:c r="F14" s="21"/>
      <x:c r="G14" s="21"/>
      <x:c r="H14" s="21"/>
    </x:row>
    <x:row r="15" ht="48" customHeight="1">
      <x:c r="A15" s="28" t="str">
        <x:v>压力点</x:v>
      </x:c>
      <x:c r="B15" s="29" t="str">
        <x:v>第3项含fJ&gt;4 MHz数据，用于检查当前8MSPS系统的混叠抑制，不代表可忽略模拟滤波。</x:v>
      </x:c>
      <x:c r="C15" s="21"/>
      <x:c r="D15" s="21"/>
      <x:c r="E15" s="21"/>
      <x:c r="F15" s="21"/>
      <x:c r="G15" s="21"/>
      <x:c r="H15" s="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6" hidden="0" customWidth="1"/>
    <x:col min="25" max="25" width="16" hidden="0" customWidth="1"/>
    <x:col min="26" max="26" width="38" hidden="0" customWidth="1"/>
  </x:cols>
  <x:sheetData>
    <x:row r="1">
      <x:c r="A1" s="30" t="str">
        <x:v>G题100组输入测试用例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t="str">
        <x:v>蓝色列为信号源输入条件；浅蓝色列为公式计算的标称值。所有数据采用确定性生成，可重复使用。</x:v>
      </x:c>
    </x:row>
    <x:row r="4" ht="38" customHeight="1">
      <x:c r="A4" s="41" t="str">
        <x:v>编号</x:v>
      </x:c>
      <x:c r="B4" s="42" t="str">
        <x:v>题目项</x:v>
      </x:c>
      <x:c r="C4" s="42" t="str">
        <x:v>信号</x:v>
      </x:c>
      <x:c r="D4" s="42" t="str">
        <x:v>覆盖类型</x:v>
      </x:c>
      <x:c r="E4" s="42" t="str">
        <x:v>目标总Vpp_mV</x:v>
      </x:c>
      <x:c r="F4" s="42" t="str">
        <x:v>基频_kHz</x:v>
      </x:c>
      <x:c r="G4" s="42" t="str">
        <x:v>谐波数</x:v>
      </x:c>
      <x:c r="H4" s="42" t="str">
        <x:v>谐波A阶次</x:v>
      </x:c>
      <x:c r="I4" s="42" t="str">
        <x:v>谐波A频率_kHz</x:v>
      </x:c>
      <x:c r="J4" s="42" t="str">
        <x:v>谐波A/H1</x:v>
      </x:c>
      <x:c r="K4" s="42" t="str">
        <x:v>谐波A相位_deg</x:v>
      </x:c>
      <x:c r="L4" s="42" t="str">
        <x:v>谐波B阶次</x:v>
      </x:c>
      <x:c r="M4" s="42" t="str">
        <x:v>谐波B频率_kHz</x:v>
      </x:c>
      <x:c r="N4" s="42" t="str">
        <x:v>谐波B/H1</x:v>
      </x:c>
      <x:c r="O4" s="42" t="str">
        <x:v>谐波B相位_deg</x:v>
      </x:c>
      <x:c r="P4" s="42" t="str">
        <x:v>形状Vpp因子</x:v>
      </x:c>
      <x:c r="Q4" s="42" t="str">
        <x:v>基波峰值_mV</x:v>
      </x:c>
      <x:c r="R4" s="42" t="str">
        <x:v>基波分量Vpp_mV</x:v>
      </x:c>
      <x:c r="S4" s="42" t="str">
        <x:v>谐波A峰值_mV</x:v>
      </x:c>
      <x:c r="T4" s="42" t="str">
        <x:v>谐波A分量Vpp_mV</x:v>
      </x:c>
      <x:c r="U4" s="42" t="str">
        <x:v>谐波B峰值_mV</x:v>
      </x:c>
      <x:c r="V4" s="42" t="str">
        <x:v>谐波B分量Vpp_mV</x:v>
      </x:c>
      <x:c r="W4" s="42" t="str">
        <x:v>理论RMS_mV</x:v>
      </x:c>
      <x:c r="X4" s="42" t="str">
        <x:v>干扰Vpp_mV</x:v>
      </x:c>
      <x:c r="Y4" s="42" t="str">
        <x:v>干扰频率_MHz</x:v>
      </x:c>
      <x:c r="Z4" s="43" t="str">
        <x:v>备注</x:v>
      </x:c>
    </x:row>
    <x:row r="5">
      <x:c r="A5" s="62" t="n">
        <x:v>1</x:v>
      </x:c>
      <x:c r="B5" s="63" t="n">
        <x:v>1</x:v>
      </x:c>
      <x:c r="C5" s="63" t="str">
        <x:v>ua</x:v>
      </x:c>
      <x:c r="D5" s="78" t="str">
        <x:v>幅值/频率下限</x:v>
      </x:c>
      <x:c r="E5" s="66" t="n">
        <x:v>100</x:v>
      </x:c>
      <x:c r="F5" s="66" t="n">
        <x:v>10</x:v>
      </x:c>
      <x:c r="G5" s="67" t="n">
        <x:v>2</x:v>
      </x:c>
      <x:c r="H5" s="67" t="n">
        <x:v>2</x:v>
      </x:c>
      <x:c r="I5" s="66" t="n">
        <x:f>F5*H5</x:f>
        <x:v>20</x:v>
      </x:c>
      <x:c r="J5" s="68" t="n">
        <x:v>0.5</x:v>
      </x:c>
      <x:c r="K5" s="67" t="n">
        <x:v>0</x:v>
      </x:c>
      <x:c r="L5" s="67" t="n">
        <x:v>3</x:v>
      </x:c>
      <x:c r="M5" s="66" t="n">
        <x:f>IF(L5="","",F5*L5)</x:f>
        <x:v>30</x:v>
      </x:c>
      <x:c r="N5" s="68" t="n">
        <x:v>0.25</x:v>
      </x:c>
      <x:c r="O5" s="67" t="n">
        <x:v>0</x:v>
      </x:c>
      <x:c r="P5" s="69" t="n">
        <x:v>2.775140637163692</x:v>
      </x:c>
      <x:c r="Q5" s="70" t="n">
        <x:f>E5/P5</x:f>
        <x:v>36.03420982015676</x:v>
      </x:c>
      <x:c r="R5" s="70" t="n">
        <x:f>2*Q5</x:f>
        <x:v>72.06841964031352</x:v>
      </x:c>
      <x:c r="S5" s="70" t="n">
        <x:f>Q5*J5</x:f>
        <x:v>18.01710491007838</x:v>
      </x:c>
      <x:c r="T5" s="70" t="n">
        <x:f>2*S5</x:f>
        <x:v>36.03420982015676</x:v>
      </x:c>
      <x:c r="U5" s="70" t="n">
        <x:f>IF(G5=2,Q5*N5,"")</x:f>
        <x:v>9.00855245503919</x:v>
      </x:c>
      <x:c r="V5" s="70" t="n">
        <x:f>IF(U5="","",2*U5)</x:f>
        <x:v>18.01710491007838</x:v>
      </x:c>
      <x:c r="W5" s="70" t="n">
        <x:f>SQRT((Q5^2+S5^2+IF(U5="",0,U5^2))/2)</x:f>
        <x:v>29.19104626455726</x:v>
      </x:c>
      <x:c r="X5" s="71" t="n">
        <x:v>0</x:v>
      </x:c>
      <x:c r="Y5" s="71"/>
      <x:c r="Z5" s="80" t="str">
        <x:v>基波初相位0°；幅值按总Vpp归一化</x:v>
      </x:c>
    </x:row>
    <x:row r="6">
      <x:c r="A6" s="62" t="n">
        <x:v>2</x:v>
      </x:c>
      <x:c r="B6" s="63" t="n">
        <x:v>1</x:v>
      </x:c>
      <x:c r="C6" s="63" t="str">
        <x:v>ua</x:v>
      </x:c>
      <x:c r="D6" s="78" t="str">
        <x:v>幅值上限/题目示例型</x:v>
      </x:c>
      <x:c r="E6" s="66" t="n">
        <x:v>250</x:v>
      </x:c>
      <x:c r="F6" s="66" t="n">
        <x:v>10.5</x:v>
      </x:c>
      <x:c r="G6" s="67" t="n">
        <x:v>2</x:v>
      </x:c>
      <x:c r="H6" s="67" t="n">
        <x:v>3</x:v>
      </x:c>
      <x:c r="I6" s="66" t="n">
        <x:f>F6*H6</x:f>
        <x:v>31.5</x:v>
      </x:c>
      <x:c r="J6" s="68" t="n">
        <x:v>0.5</x:v>
      </x:c>
      <x:c r="K6" s="67" t="n">
        <x:v>0</x:v>
      </x:c>
      <x:c r="L6" s="67" t="n">
        <x:v>4</x:v>
      </x:c>
      <x:c r="M6" s="66" t="n">
        <x:f>IF(L6="","",F6*L6)</x:f>
        <x:v>42</x:v>
      </x:c>
      <x:c r="N6" s="68" t="n">
        <x:v>0.25</x:v>
      </x:c>
      <x:c r="O6" s="67" t="n">
        <x:v>0</x:v>
      </x:c>
      <x:c r="P6" s="69" t="n">
        <x:v>2.449069167463228</x:v>
      </x:c>
      <x:c r="Q6" s="70" t="n">
        <x:f>E6/P6</x:f>
        <x:v>102.07959959699818</x:v>
      </x:c>
      <x:c r="R6" s="70" t="n">
        <x:f>2*Q6</x:f>
        <x:v>204.15919919399636</x:v>
      </x:c>
      <x:c r="S6" s="70" t="n">
        <x:f>Q6*J6</x:f>
        <x:v>51.03979979849909</x:v>
      </x:c>
      <x:c r="T6" s="70" t="n">
        <x:f>2*S6</x:f>
        <x:v>102.07959959699818</x:v>
      </x:c>
      <x:c r="U6" s="70" t="n">
        <x:f>IF(G6=2,Q6*N6,"")</x:f>
        <x:v>25.519899899249545</x:v>
      </x:c>
      <x:c r="V6" s="70" t="n">
        <x:f>IF(U6="","",2*U6)</x:f>
        <x:v>51.03979979849909</x:v>
      </x:c>
      <x:c r="W6" s="70" t="n">
        <x:f>SQRT((Q6^2+S6^2+IF(U6="",0,U6^2))/2)</x:f>
        <x:v>82.69392694818059</x:v>
      </x:c>
      <x:c r="X6" s="71" t="n">
        <x:v>0</x:v>
      </x:c>
      <x:c r="Y6" s="71"/>
      <x:c r="Z6" s="80" t="str">
        <x:v>基波初相位0°；幅值按总Vpp归一化</x:v>
      </x:c>
    </x:row>
    <x:row r="7">
      <x:c r="A7" s="62" t="n">
        <x:v>3</x:v>
      </x:c>
      <x:c r="B7" s="63" t="n">
        <x:v>1</x:v>
      </x:c>
      <x:c r="C7" s="63" t="str">
        <x:v>ua</x:v>
      </x:c>
      <x:c r="D7" s="78" t="str">
        <x:v>200kHz频率上限</x:v>
      </x:c>
      <x:c r="E7" s="66" t="n">
        <x:v>250</x:v>
      </x:c>
      <x:c r="F7" s="66" t="n">
        <x:v>100</x:v>
      </x:c>
      <x:c r="G7" s="67" t="n">
        <x:v>1</x:v>
      </x:c>
      <x:c r="H7" s="67" t="n">
        <x:v>2</x:v>
      </x:c>
      <x:c r="I7" s="66" t="n">
        <x:f>F7*H7</x:f>
        <x:v>200</x:v>
      </x:c>
      <x:c r="J7" s="68" t="n">
        <x:v>0.4</x:v>
      </x:c>
      <x:c r="K7" s="67" t="n">
        <x:v>0</x:v>
      </x:c>
      <x:c r="L7" s="67"/>
      <x:c r="M7" s="66" t="str">
        <x:f>IF(L7="","",F7*L7)</x:f>
      </x:c>
      <x:c r="N7" s="68"/>
      <x:c r="O7" s="67"/>
      <x:c r="P7" s="69" t="n">
        <x:v>2.4293470918219517</x:v>
      </x:c>
      <x:c r="Q7" s="70" t="n">
        <x:f>E7/P7</x:f>
        <x:v>102.90830850873023</x:v>
      </x:c>
      <x:c r="R7" s="70" t="n">
        <x:f>2*Q7</x:f>
        <x:v>205.81661701746046</x:v>
      </x:c>
      <x:c r="S7" s="70" t="n">
        <x:f>Q7*J7</x:f>
        <x:v>41.16332340349209</x:v>
      </x:c>
      <x:c r="T7" s="70" t="n">
        <x:f>2*S7</x:f>
        <x:v>82.32664680698419</x:v>
      </x:c>
      <x:c r="U7" s="70" t="str">
        <x:f>IF(G7=2,Q7*N7,"")</x:f>
      </x:c>
      <x:c r="V7" s="70" t="str">
        <x:f>IF(U7="","",2*U7)</x:f>
      </x:c>
      <x:c r="W7" s="70" t="n">
        <x:f>SQRT((Q7^2+S7^2+IF(U7="",0,U7^2))/2)</x:f>
        <x:v>78.37263283107337</x:v>
      </x:c>
      <x:c r="X7" s="71" t="n">
        <x:v>0</x:v>
      </x:c>
      <x:c r="Y7" s="71"/>
      <x:c r="Z7" s="80" t="str">
        <x:v>基波初相位0°；幅值按总Vpp归一化</x:v>
      </x:c>
    </x:row>
    <x:row r="8">
      <x:c r="A8" s="62" t="n">
        <x:v>4</x:v>
      </x:c>
      <x:c r="B8" s="63" t="n">
        <x:v>1</x:v>
      </x:c>
      <x:c r="C8" s="63" t="str">
        <x:v>ua</x:v>
      </x:c>
      <x:c r="D8" s="78" t="str">
        <x:v>200kHz边界/相位</x:v>
      </x:c>
      <x:c r="E8" s="66" t="n">
        <x:v>150</x:v>
      </x:c>
      <x:c r="F8" s="66" t="n">
        <x:v>50</x:v>
      </x:c>
      <x:c r="G8" s="67" t="n">
        <x:v>2</x:v>
      </x:c>
      <x:c r="H8" s="67" t="n">
        <x:v>3</x:v>
      </x:c>
      <x:c r="I8" s="66" t="n">
        <x:f>F8*H8</x:f>
        <x:v>150</x:v>
      </x:c>
      <x:c r="J8" s="68" t="n">
        <x:v>0.4</x:v>
      </x:c>
      <x:c r="K8" s="67" t="n">
        <x:v>45</x:v>
      </x:c>
      <x:c r="L8" s="67" t="n">
        <x:v>4</x:v>
      </x:c>
      <x:c r="M8" s="66" t="n">
        <x:f>IF(L8="","",F8*L8)</x:f>
        <x:v>200</x:v>
      </x:c>
      <x:c r="N8" s="68" t="n">
        <x:v>0.2</x:v>
      </x:c>
      <x:c r="O8" s="67" t="n">
        <x:v>120</x:v>
      </x:c>
      <x:c r="P8" s="69" t="n">
        <x:v>2.342199720191068</x:v>
      </x:c>
      <x:c r="Q8" s="70" t="n">
        <x:f>E8/P8</x:f>
        <x:v>64.04236099377707</x:v>
      </x:c>
      <x:c r="R8" s="70" t="n">
        <x:f>2*Q8</x:f>
        <x:v>128.08472198755413</x:v>
      </x:c>
      <x:c r="S8" s="70" t="n">
        <x:f>Q8*J8</x:f>
        <x:v>25.616944397510828</x:v>
      </x:c>
      <x:c r="T8" s="70" t="n">
        <x:f>2*S8</x:f>
        <x:v>51.233888795021656</x:v>
      </x:c>
      <x:c r="U8" s="70" t="n">
        <x:f>IF(G8=2,Q8*N8,"")</x:f>
        <x:v>12.808472198755414</x:v>
      </x:c>
      <x:c r="V8" s="70" t="n">
        <x:f>IF(U8="","",2*U8)</x:f>
        <x:v>25.616944397510828</x:v>
      </x:c>
      <x:c r="W8" s="70" t="n">
        <x:f>SQRT((Q8^2+S8^2+IF(U8="",0,U8^2))/2)</x:f>
        <x:v>49.60699951614041</x:v>
      </x:c>
      <x:c r="X8" s="71" t="n">
        <x:v>0</x:v>
      </x:c>
      <x:c r="Y8" s="71"/>
      <x:c r="Z8" s="80" t="str">
        <x:v>基波初相位0°；幅值按总Vpp归一化</x:v>
      </x:c>
    </x:row>
    <x:row r="9">
      <x:c r="A9" s="62" t="n">
        <x:v>5</x:v>
      </x:c>
      <x:c r="B9" s="63" t="n">
        <x:v>1</x:v>
      </x:c>
      <x:c r="C9" s="63" t="str">
        <x:v>ua</x:v>
      </x:c>
      <x:c r="D9" s="78" t="str">
        <x:v>典型组合/弱谐波</x:v>
      </x:c>
      <x:c r="E9" s="66" t="n">
        <x:v>175</x:v>
      </x:c>
      <x:c r="F9" s="66" t="n">
        <x:v>36</x:v>
      </x:c>
      <x:c r="G9" s="67" t="n">
        <x:v>2</x:v>
      </x:c>
      <x:c r="H9" s="67" t="n">
        <x:v>3</x:v>
      </x:c>
      <x:c r="I9" s="66" t="n">
        <x:f>F9*H9</x:f>
        <x:v>108</x:v>
      </x:c>
      <x:c r="J9" s="68" t="n">
        <x:v>0.244</x:v>
      </x:c>
      <x:c r="K9" s="67" t="n">
        <x:v>180</x:v>
      </x:c>
      <x:c r="L9" s="67" t="n">
        <x:v>4</x:v>
      </x:c>
      <x:c r="M9" s="66" t="n">
        <x:f>IF(L9="","",F9*L9)</x:f>
        <x:v>144</x:v>
      </x:c>
      <x:c r="N9" s="68" t="n">
        <x:v>0.139</x:v>
      </x:c>
      <x:c r="O9" s="67" t="n">
        <x:v>240</x:v>
      </x:c>
      <x:c r="P9" s="69" t="n">
        <x:v>2.520471677824535</x:v>
      </x:c>
      <x:c r="Q9" s="70" t="n">
        <x:f>E9/P9</x:f>
        <x:v>69.43144870052485</x:v>
      </x:c>
      <x:c r="R9" s="70" t="n">
        <x:f>2*Q9</x:f>
        <x:v>138.8628974010497</x:v>
      </x:c>
      <x:c r="S9" s="70" t="n">
        <x:f>Q9*J9</x:f>
        <x:v>16.941273482928064</x:v>
      </x:c>
      <x:c r="T9" s="70" t="n">
        <x:f>2*S9</x:f>
        <x:v>33.88254696585613</x:v>
      </x:c>
      <x:c r="U9" s="70" t="n">
        <x:f>IF(G9=2,Q9*N9,"")</x:f>
        <x:v>9.650971369372956</x:v>
      </x:c>
      <x:c r="V9" s="70" t="n">
        <x:f>IF(U9="","",2*U9)</x:f>
        <x:v>19.30194273874591</x:v>
      </x:c>
      <x:c r="W9" s="70" t="n">
        <x:f>SQRT((Q9^2+S9^2+IF(U9="",0,U9^2))/2)</x:f>
        <x:v>50.994480408419854</x:v>
      </x:c>
      <x:c r="X9" s="71" t="n">
        <x:v>0</x:v>
      </x:c>
      <x:c r="Y9" s="71"/>
      <x:c r="Z9" s="80" t="str">
        <x:v>基波初相位0°；幅值按总Vpp归一化</x:v>
      </x:c>
    </x:row>
    <x:row r="10">
      <x:c r="A10" s="62" t="n">
        <x:v>6</x:v>
      </x:c>
      <x:c r="B10" s="63" t="n">
        <x:v>1</x:v>
      </x:c>
      <x:c r="C10" s="63" t="str">
        <x:v>ua</x:v>
      </x:c>
      <x:c r="D10" s="78" t="str">
        <x:v>典型组合/弱谐波</x:v>
      </x:c>
      <x:c r="E10" s="66" t="n">
        <x:v>200</x:v>
      </x:c>
      <x:c r="F10" s="66" t="n">
        <x:v>34</x:v>
      </x:c>
      <x:c r="G10" s="67" t="n">
        <x:v>2</x:v>
      </x:c>
      <x:c r="H10" s="67" t="n">
        <x:v>3</x:v>
      </x:c>
      <x:c r="I10" s="66" t="n">
        <x:f>F10*H10</x:f>
        <x:v>102</x:v>
      </x:c>
      <x:c r="J10" s="68" t="n">
        <x:v>0.415</x:v>
      </x:c>
      <x:c r="K10" s="67" t="n">
        <x:v>270</x:v>
      </x:c>
      <x:c r="L10" s="67" t="n">
        <x:v>5</x:v>
      </x:c>
      <x:c r="M10" s="66" t="n">
        <x:f>IF(L10="","",F10*L10)</x:f>
        <x:v>170</x:v>
      </x:c>
      <x:c r="N10" s="68" t="n">
        <x:v>0.216</x:v>
      </x:c>
      <x:c r="O10" s="67" t="n">
        <x:v>0</x:v>
      </x:c>
      <x:c r="P10" s="69" t="n">
        <x:v>2.6632499661362643</x:v>
      </x:c>
      <x:c r="Q10" s="70" t="n">
        <x:f>E10/P10</x:f>
        <x:v>75.09621798293006</x:v>
      </x:c>
      <x:c r="R10" s="70" t="n">
        <x:f>2*Q10</x:f>
        <x:v>150.1924359658601</x:v>
      </x:c>
      <x:c r="S10" s="70" t="n">
        <x:f>Q10*J10</x:f>
        <x:v>31.164930462915972</x:v>
      </x:c>
      <x:c r="T10" s="70" t="n">
        <x:f>2*S10</x:f>
        <x:v>62.329860925831944</x:v>
      </x:c>
      <x:c r="U10" s="70" t="n">
        <x:f>IF(G10=2,Q10*N10,"")</x:f>
        <x:v>16.22078308431289</x:v>
      </x:c>
      <x:c r="V10" s="70" t="n">
        <x:f>IF(U10="","",2*U10)</x:f>
        <x:v>32.44156616862578</x:v>
      </x:c>
      <x:c r="W10" s="70" t="n">
        <x:f>SQRT((Q10^2+S10^2+IF(U10="",0,U10^2))/2)</x:f>
        <x:v>58.62511684409024</x:v>
      </x:c>
      <x:c r="X10" s="71" t="n">
        <x:v>0</x:v>
      </x:c>
      <x:c r="Y10" s="71"/>
      <x:c r="Z10" s="80" t="str">
        <x:v>基波初相位0°；幅值按总Vpp归一化</x:v>
      </x:c>
    </x:row>
    <x:row r="11">
      <x:c r="A11" s="62" t="n">
        <x:v>7</x:v>
      </x:c>
      <x:c r="B11" s="63" t="n">
        <x:v>1</x:v>
      </x:c>
      <x:c r="C11" s="63" t="str">
        <x:v>ua</x:v>
      </x:c>
      <x:c r="D11" s="78" t="str">
        <x:v>典型组合</x:v>
      </x:c>
      <x:c r="E11" s="66" t="n">
        <x:v>225</x:v>
      </x:c>
      <x:c r="F11" s="66" t="n">
        <x:v>38.5</x:v>
      </x:c>
      <x:c r="G11" s="67" t="n">
        <x:v>2</x:v>
      </x:c>
      <x:c r="H11" s="67" t="n">
        <x:v>4</x:v>
      </x:c>
      <x:c r="I11" s="66" t="n">
        <x:f>F11*H11</x:f>
        <x:v>154</x:v>
      </x:c>
      <x:c r="J11" s="68" t="n">
        <x:v>0.504</x:v>
      </x:c>
      <x:c r="K11" s="67" t="n">
        <x:v>0</x:v>
      </x:c>
      <x:c r="L11" s="67" t="n">
        <x:v>5</x:v>
      </x:c>
      <x:c r="M11" s="66" t="n">
        <x:f>IF(L11="","",F11*L11)</x:f>
        <x:v>192.5</x:v>
      </x:c>
      <x:c r="N11" s="68" t="n">
        <x:v>0.308</x:v>
      </x:c>
      <x:c r="O11" s="67" t="n">
        <x:v>30</x:v>
      </x:c>
      <x:c r="P11" s="69" t="n">
        <x:v>2.9881338272618665</x:v>
      </x:c>
      <x:c r="Q11" s="70" t="n">
        <x:f>E11/P11</x:f>
        <x:v>75.29783236187099</x:v>
      </x:c>
      <x:c r="R11" s="70" t="n">
        <x:f>2*Q11</x:f>
        <x:v>150.59566472374198</x:v>
      </x:c>
      <x:c r="S11" s="70" t="n">
        <x:f>Q11*J11</x:f>
        <x:v>37.95010751038298</x:v>
      </x:c>
      <x:c r="T11" s="70" t="n">
        <x:f>2*S11</x:f>
        <x:v>75.90021502076596</x:v>
      </x:c>
      <x:c r="U11" s="70" t="n">
        <x:f>IF(G11=2,Q11*N11,"")</x:f>
        <x:v>23.191732367456265</x:v>
      </x:c>
      <x:c r="V11" s="70" t="n">
        <x:f>IF(U11="","",2*U11)</x:f>
        <x:v>46.38346473491253</x:v>
      </x:c>
      <x:c r="W11" s="70" t="n">
        <x:f>SQRT((Q11^2+S11^2+IF(U11="",0,U11^2))/2)</x:f>
        <x:v>61.8378147602653</x:v>
      </x:c>
      <x:c r="X11" s="71" t="n">
        <x:v>0</x:v>
      </x:c>
      <x:c r="Y11" s="71"/>
      <x:c r="Z11" s="80" t="str">
        <x:v>基波初相位0°；幅值按总Vpp归一化</x:v>
      </x:c>
    </x:row>
    <x:row r="12">
      <x:c r="A12" s="62" t="n">
        <x:v>8</x:v>
      </x:c>
      <x:c r="B12" s="63" t="n">
        <x:v>1</x:v>
      </x:c>
      <x:c r="C12" s="63" t="str">
        <x:v>ua</x:v>
      </x:c>
      <x:c r="D12" s="78" t="str">
        <x:v>典型组合/频率上限</x:v>
      </x:c>
      <x:c r="E12" s="66" t="n">
        <x:v>240</x:v>
      </x:c>
      <x:c r="F12" s="66" t="n">
        <x:v>100</x:v>
      </x:c>
      <x:c r="G12" s="67" t="n">
        <x:v>1</x:v>
      </x:c>
      <x:c r="H12" s="67" t="n">
        <x:v>2</x:v>
      </x:c>
      <x:c r="I12" s="66" t="n">
        <x:f>F12*H12</x:f>
        <x:v>200</x:v>
      </x:c>
      <x:c r="J12" s="68" t="n">
        <x:v>0.815</x:v>
      </x:c>
      <x:c r="K12" s="67" t="n">
        <x:v>45</x:v>
      </x:c>
      <x:c r="L12" s="67"/>
      <x:c r="M12" s="66" t="str">
        <x:f>IF(L12="","",F12*L12)</x:f>
      </x:c>
      <x:c r="N12" s="68"/>
      <x:c r="O12" s="67"/>
      <x:c r="P12" s="69" t="n">
        <x:v>3.071013017131178</x:v>
      </x:c>
      <x:c r="Q12" s="70" t="n">
        <x:f>E12/P12</x:f>
        <x:v>78.15010833923418</x:v>
      </x:c>
      <x:c r="R12" s="70" t="n">
        <x:f>2*Q12</x:f>
        <x:v>156.30021667846836</x:v>
      </x:c>
      <x:c r="S12" s="70" t="n">
        <x:f>Q12*J12</x:f>
        <x:v>63.69233829647585</x:v>
      </x:c>
      <x:c r="T12" s="70" t="n">
        <x:f>2*S12</x:f>
        <x:v>127.3846765929517</x:v>
      </x:c>
      <x:c r="U12" s="70" t="str">
        <x:f>IF(G12=2,Q12*N12,"")</x:f>
      </x:c>
      <x:c r="V12" s="70" t="str">
        <x:f>IF(U12="","",2*U12)</x:f>
      </x:c>
      <x:c r="W12" s="70" t="n">
        <x:f>SQRT((Q12^2+S12^2+IF(U12="",0,U12^2))/2)</x:f>
        <x:v>71.28868560685757</x:v>
      </x:c>
      <x:c r="X12" s="71" t="n">
        <x:v>0</x:v>
      </x:c>
      <x:c r="Y12" s="71"/>
      <x:c r="Z12" s="80" t="str">
        <x:v>基波初相位0°；幅值按总Vpp归一化</x:v>
      </x:c>
    </x:row>
    <x:row r="13">
      <x:c r="A13" s="62" t="n">
        <x:v>9</x:v>
      </x:c>
      <x:c r="B13" s="63" t="n">
        <x:v>1</x:v>
      </x:c>
      <x:c r="C13" s="63" t="str">
        <x:v>ua</x:v>
      </x:c>
      <x:c r="D13" s="78" t="str">
        <x:v>幅值边界/频率下限</x:v>
      </x:c>
      <x:c r="E13" s="66" t="n">
        <x:v>250</x:v>
      </x:c>
      <x:c r="F13" s="66" t="n">
        <x:v>10</x:v>
      </x:c>
      <x:c r="G13" s="67" t="n">
        <x:v>1</x:v>
      </x:c>
      <x:c r="H13" s="67" t="n">
        <x:v>3</x:v>
      </x:c>
      <x:c r="I13" s="66" t="n">
        <x:f>F13*H13</x:f>
        <x:v>30</x:v>
      </x:c>
      <x:c r="J13" s="68" t="n">
        <x:v>0.999</x:v>
      </x:c>
      <x:c r="K13" s="67" t="n">
        <x:v>90</x:v>
      </x:c>
      <x:c r="L13" s="67"/>
      <x:c r="M13" s="66" t="str">
        <x:f>IF(L13="","",F13*L13)</x:f>
      </x:c>
      <x:c r="N13" s="68"/>
      <x:c r="O13" s="67"/>
      <x:c r="P13" s="69" t="n">
        <x:v>3.7554368972657155</x:v>
      </x:c>
      <x:c r="Q13" s="70" t="n">
        <x:f>E13/P13</x:f>
        <x:v>66.57015064799032</x:v>
      </x:c>
      <x:c r="R13" s="70" t="n">
        <x:f>2*Q13</x:f>
        <x:v>133.14030129598063</x:v>
      </x:c>
      <x:c r="S13" s="70" t="n">
        <x:f>Q13*J13</x:f>
        <x:v>66.50358049734233</x:v>
      </x:c>
      <x:c r="T13" s="70" t="n">
        <x:f>2*S13</x:f>
        <x:v>133.00716099468465</x:v>
      </x:c>
      <x:c r="U13" s="70" t="str">
        <x:f>IF(G13=2,Q13*N13,"")</x:f>
      </x:c>
      <x:c r="V13" s="70" t="str">
        <x:f>IF(U13="","",2*U13)</x:f>
      </x:c>
      <x:c r="W13" s="70" t="n">
        <x:f>SQRT((Q13^2+S13^2+IF(U13="",0,U13^2))/2)</x:f>
        <x:v>66.53687389809735</x:v>
      </x:c>
      <x:c r="X13" s="71" t="n">
        <x:v>0</x:v>
      </x:c>
      <x:c r="Y13" s="71"/>
      <x:c r="Z13" s="80" t="str">
        <x:v>基波初相位0°；幅值按总Vpp归一化</x:v>
      </x:c>
    </x:row>
    <x:row r="14">
      <x:c r="A14" s="62" t="n">
        <x:v>10</x:v>
      </x:c>
      <x:c r="B14" s="63" t="n">
        <x:v>1</x:v>
      </x:c>
      <x:c r="C14" s="63" t="str">
        <x:v>ua</x:v>
      </x:c>
      <x:c r="D14" s="78" t="str">
        <x:v>幅值边界</x:v>
      </x:c>
      <x:c r="E14" s="66" t="n">
        <x:v>100</x:v>
      </x:c>
      <x:c r="F14" s="66" t="n">
        <x:v>18</x:v>
      </x:c>
      <x:c r="G14" s="67" t="n">
        <x:v>1</x:v>
      </x:c>
      <x:c r="H14" s="67" t="n">
        <x:v>4</x:v>
      </x:c>
      <x:c r="I14" s="66" t="n">
        <x:f>F14*H14</x:f>
        <x:v>72</x:v>
      </x:c>
      <x:c r="J14" s="68" t="n">
        <x:v>0.254</x:v>
      </x:c>
      <x:c r="K14" s="67" t="n">
        <x:v>135</x:v>
      </x:c>
      <x:c r="L14" s="67"/>
      <x:c r="M14" s="66" t="str">
        <x:f>IF(L14="","",F14*L14)</x:f>
      </x:c>
      <x:c r="N14" s="68"/>
      <x:c r="O14" s="67"/>
      <x:c r="P14" s="69" t="n">
        <x:v>2.355889825455969</x:v>
      </x:c>
      <x:c r="Q14" s="70" t="n">
        <x:f>E14/P14</x:f>
        <x:v>42.44680668827354</x:v>
      </x:c>
      <x:c r="R14" s="70" t="n">
        <x:f>2*Q14</x:f>
        <x:v>84.89361337654708</x:v>
      </x:c>
      <x:c r="S14" s="70" t="n">
        <x:f>Q14*J14</x:f>
        <x:v>10.781488898821479</x:v>
      </x:c>
      <x:c r="T14" s="70" t="n">
        <x:f>2*S14</x:f>
        <x:v>21.562977797642958</x:v>
      </x:c>
      <x:c r="U14" s="70" t="str">
        <x:f>IF(G14=2,Q14*N14,"")</x:f>
      </x:c>
      <x:c r="V14" s="70" t="str">
        <x:f>IF(U14="","",2*U14)</x:f>
      </x:c>
      <x:c r="W14" s="70" t="n">
        <x:f>SQRT((Q14^2+S14^2+IF(U14="",0,U14^2))/2)</x:f>
        <x:v>30.96749829181455</x:v>
      </x:c>
      <x:c r="X14" s="71" t="n">
        <x:v>0</x:v>
      </x:c>
      <x:c r="Y14" s="71"/>
      <x:c r="Z14" s="80" t="str">
        <x:v>基波初相位0°；幅值按总Vpp归一化</x:v>
      </x:c>
    </x:row>
    <x:row r="15">
      <x:c r="A15" s="62" t="n">
        <x:v>11</x:v>
      </x:c>
      <x:c r="B15" s="63" t="n">
        <x:v>1</x:v>
      </x:c>
      <x:c r="C15" s="63" t="str">
        <x:v>ua</x:v>
      </x:c>
      <x:c r="D15" s="78" t="str">
        <x:v>典型组合</x:v>
      </x:c>
      <x:c r="E15" s="66" t="n">
        <x:v>110</x:v>
      </x:c>
      <x:c r="F15" s="66" t="n">
        <x:v>20.5</x:v>
      </x:c>
      <x:c r="G15" s="67" t="n">
        <x:v>1</x:v>
      </x:c>
      <x:c r="H15" s="67" t="n">
        <x:v>5</x:v>
      </x:c>
      <x:c r="I15" s="66" t="n">
        <x:f>F15*H15</x:f>
        <x:v>102.5</x:v>
      </x:c>
      <x:c r="J15" s="68" t="n">
        <x:v>0.383</x:v>
      </x:c>
      <x:c r="K15" s="67" t="n">
        <x:v>180</x:v>
      </x:c>
      <x:c r="L15" s="67"/>
      <x:c r="M15" s="66" t="str">
        <x:f>IF(L15="","",F15*L15)</x:f>
      </x:c>
      <x:c r="N15" s="68"/>
      <x:c r="O15" s="67"/>
      <x:c r="P15" s="69" t="n">
        <x:v>2.417478797923269</x:v>
      </x:c>
      <x:c r="Q15" s="70" t="n">
        <x:f>E15/P15</x:f>
        <x:v>45.50195025267453</x:v>
      </x:c>
      <x:c r="R15" s="70" t="n">
        <x:f>2*Q15</x:f>
        <x:v>91.00390050534907</x:v>
      </x:c>
      <x:c r="S15" s="70" t="n">
        <x:f>Q15*J15</x:f>
        <x:v>17.427246946774346</x:v>
      </x:c>
      <x:c r="T15" s="70" t="n">
        <x:f>2*S15</x:f>
        <x:v>34.85449389354869</x:v>
      </x:c>
      <x:c r="U15" s="70" t="str">
        <x:f>IF(G15=2,Q15*N15,"")</x:f>
      </x:c>
      <x:c r="V15" s="70" t="str">
        <x:f>IF(U15="","",2*U15)</x:f>
      </x:c>
      <x:c r="W15" s="70" t="n">
        <x:f>SQRT((Q15^2+S15^2+IF(U15="",0,U15^2))/2)</x:f>
        <x:v>34.45385619158416</x:v>
      </x:c>
      <x:c r="X15" s="71" t="n">
        <x:v>0</x:v>
      </x:c>
      <x:c r="Y15" s="71"/>
      <x:c r="Z15" s="80" t="str">
        <x:v>基波初相位0°；幅值按总Vpp归一化</x:v>
      </x:c>
    </x:row>
    <x:row r="16">
      <x:c r="A16" s="62" t="n">
        <x:v>12</x:v>
      </x:c>
      <x:c r="B16" s="63" t="n">
        <x:v>1</x:v>
      </x:c>
      <x:c r="C16" s="63" t="str">
        <x:v>ua</x:v>
      </x:c>
      <x:c r="D16" s="78" t="str">
        <x:v>典型组合</x:v>
      </x:c>
      <x:c r="E16" s="66" t="n">
        <x:v>125</x:v>
      </x:c>
      <x:c r="F16" s="66" t="n">
        <x:v>38.5</x:v>
      </x:c>
      <x:c r="G16" s="67" t="n">
        <x:v>2</x:v>
      </x:c>
      <x:c r="H16" s="67" t="n">
        <x:v>2</x:v>
      </x:c>
      <x:c r="I16" s="66" t="n">
        <x:f>F16*H16</x:f>
        <x:v>77</x:v>
      </x:c>
      <x:c r="J16" s="68" t="n">
        <x:v>0.515</x:v>
      </x:c>
      <x:c r="K16" s="67" t="n">
        <x:v>270</x:v>
      </x:c>
      <x:c r="L16" s="67" t="n">
        <x:v>3</x:v>
      </x:c>
      <x:c r="M16" s="66" t="n">
        <x:f>IF(L16="","",F16*L16)</x:f>
        <x:v>115.5</x:v>
      </x:c>
      <x:c r="N16" s="68" t="n">
        <x:v>0.313</x:v>
      </x:c>
      <x:c r="O16" s="67" t="n">
        <x:v>0</x:v>
      </x:c>
      <x:c r="P16" s="69" t="n">
        <x:v>2.2725775452287937</x:v>
      </x:c>
      <x:c r="Q16" s="70" t="n">
        <x:f>E16/P16</x:f>
        <x:v>55.00362364418923</x:v>
      </x:c>
      <x:c r="R16" s="70" t="n">
        <x:f>2*Q16</x:f>
        <x:v>110.00724728837847</x:v>
      </x:c>
      <x:c r="S16" s="70" t="n">
        <x:f>Q16*J16</x:f>
        <x:v>28.326866176757456</x:v>
      </x:c>
      <x:c r="T16" s="70" t="n">
        <x:f>2*S16</x:f>
        <x:v>56.65373235351491</x:v>
      </x:c>
      <x:c r="U16" s="70" t="n">
        <x:f>IF(G16=2,Q16*N16,"")</x:f>
        <x:v>17.21613420063123</x:v>
      </x:c>
      <x:c r="V16" s="70" t="n">
        <x:f>IF(U16="","",2*U16)</x:f>
        <x:v>34.43226840126246</x:v>
      </x:c>
      <x:c r="W16" s="70" t="n">
        <x:f>SQRT((Q16^2+S16^2+IF(U16="",0,U16^2))/2)</x:f>
        <x:v>45.41038008099956</x:v>
      </x:c>
      <x:c r="X16" s="71" t="n">
        <x:v>0</x:v>
      </x:c>
      <x:c r="Y16" s="71"/>
      <x:c r="Z16" s="80" t="str">
        <x:v>基波初相位0°；幅值按总Vpp归一化</x:v>
      </x:c>
    </x:row>
    <x:row r="17">
      <x:c r="A17" s="62" t="n">
        <x:v>13</x:v>
      </x:c>
      <x:c r="B17" s="63" t="n">
        <x:v>1</x:v>
      </x:c>
      <x:c r="C17" s="63" t="str">
        <x:v>ua</x:v>
      </x:c>
      <x:c r="D17" s="78" t="str">
        <x:v>典型组合</x:v>
      </x:c>
      <x:c r="E17" s="66" t="n">
        <x:v>150</x:v>
      </x:c>
      <x:c r="F17" s="66" t="n">
        <x:v>36</x:v>
      </x:c>
      <x:c r="G17" s="67" t="n">
        <x:v>2</x:v>
      </x:c>
      <x:c r="H17" s="67" t="n">
        <x:v>2</x:v>
      </x:c>
      <x:c r="I17" s="66" t="n">
        <x:f>F17*H17</x:f>
        <x:v>72</x:v>
      </x:c>
      <x:c r="J17" s="68" t="n">
        <x:v>0.76</x:v>
      </x:c>
      <x:c r="K17" s="67" t="n">
        <x:v>0</x:v>
      </x:c>
      <x:c r="L17" s="67" t="n">
        <x:v>4</x:v>
      </x:c>
      <x:c r="M17" s="66" t="n">
        <x:f>IF(L17="","",F17*L17)</x:f>
        <x:v>144</x:v>
      </x:c>
      <x:c r="N17" s="68" t="n">
        <x:v>0.393</x:v>
      </x:c>
      <x:c r="O17" s="67" t="n">
        <x:v>30</x:v>
      </x:c>
      <x:c r="P17" s="69" t="n">
        <x:v>3.0528337613088556</x:v>
      </x:c>
      <x:c r="Q17" s="70" t="n">
        <x:f>E17/P17</x:f>
        <x:v>49.13467673906024</x:v>
      </x:c>
      <x:c r="R17" s="70" t="n">
        <x:f>2*Q17</x:f>
        <x:v>98.26935347812048</x:v>
      </x:c>
      <x:c r="S17" s="70" t="n">
        <x:f>Q17*J17</x:f>
        <x:v>37.34235432168578</x:v>
      </x:c>
      <x:c r="T17" s="70" t="n">
        <x:f>2*S17</x:f>
        <x:v>74.68470864337156</x:v>
      </x:c>
      <x:c r="U17" s="70" t="n">
        <x:f>IF(G17=2,Q17*N17,"")</x:f>
        <x:v>19.309927958450675</x:v>
      </x:c>
      <x:c r="V17" s="70" t="n">
        <x:f>IF(U17="","",2*U17)</x:f>
        <x:v>38.61985591690135</x:v>
      </x:c>
      <x:c r="W17" s="70" t="n">
        <x:f>SQRT((Q17^2+S17^2+IF(U17="",0,U17^2))/2)</x:f>
        <x:v>45.72494506447672</x:v>
      </x:c>
      <x:c r="X17" s="71" t="n">
        <x:v>0</x:v>
      </x:c>
      <x:c r="Y17" s="71"/>
      <x:c r="Z17" s="80" t="str">
        <x:v>基波初相位0°；幅值按总Vpp归一化</x:v>
      </x:c>
    </x:row>
    <x:row r="18">
      <x:c r="A18" s="62" t="n">
        <x:v>14</x:v>
      </x:c>
      <x:c r="B18" s="63" t="n">
        <x:v>1</x:v>
      </x:c>
      <x:c r="C18" s="63" t="str">
        <x:v>ua</x:v>
      </x:c>
      <x:c r="D18" s="78" t="str">
        <x:v>典型组合</x:v>
      </x:c>
      <x:c r="E18" s="66" t="n">
        <x:v>175</x:v>
      </x:c>
      <x:c r="F18" s="66" t="n">
        <x:v>42</x:v>
      </x:c>
      <x:c r="G18" s="67" t="n">
        <x:v>2</x:v>
      </x:c>
      <x:c r="H18" s="67" t="n">
        <x:v>3</x:v>
      </x:c>
      <x:c r="I18" s="66" t="n">
        <x:f>F18*H18</x:f>
        <x:v>126</x:v>
      </x:c>
      <x:c r="J18" s="68" t="n">
        <x:v>0.997</x:v>
      </x:c>
      <x:c r="K18" s="67" t="n">
        <x:v>45</x:v>
      </x:c>
      <x:c r="L18" s="67" t="n">
        <x:v>4</x:v>
      </x:c>
      <x:c r="M18" s="66" t="n">
        <x:f>IF(L18="","",F18*L18)</x:f>
        <x:v>168</x:v>
      </x:c>
      <x:c r="N18" s="68" t="n">
        <x:v>0.484</x:v>
      </x:c>
      <x:c r="O18" s="67" t="n">
        <x:v>60</x:v>
      </x:c>
      <x:c r="P18" s="69" t="n">
        <x:v>3.8003060590309357</x:v>
      </x:c>
      <x:c r="Q18" s="70" t="n">
        <x:f>E18/P18</x:f>
        <x:v>46.04892271351018</x:v>
      </x:c>
      <x:c r="R18" s="70" t="n">
        <x:f>2*Q18</x:f>
        <x:v>92.09784542702036</x:v>
      </x:c>
      <x:c r="S18" s="70" t="n">
        <x:f>Q18*J18</x:f>
        <x:v>45.91077594536965</x:v>
      </x:c>
      <x:c r="T18" s="70" t="n">
        <x:f>2*S18</x:f>
        <x:v>91.8215518907393</x:v>
      </x:c>
      <x:c r="U18" s="70" t="n">
        <x:f>IF(G18=2,Q18*N18,"")</x:f>
        <x:v>22.287678593338928</x:v>
      </x:c>
      <x:c r="V18" s="70" t="n">
        <x:f>IF(U18="","",2*U18)</x:f>
        <x:v>44.575357186677856</x:v>
      </x:c>
      <x:c r="W18" s="70" t="n">
        <x:f>SQRT((Q18^2+S18^2+IF(U18="",0,U18^2))/2)</x:f>
        <x:v>48.60577768157169</x:v>
      </x:c>
      <x:c r="X18" s="71" t="n">
        <x:v>0</x:v>
      </x:c>
      <x:c r="Y18" s="71"/>
      <x:c r="Z18" s="80" t="str">
        <x:v>基波初相位0°；幅值按总Vpp归一化</x:v>
      </x:c>
    </x:row>
    <x:row r="19">
      <x:c r="A19" s="62" t="n">
        <x:v>15</x:v>
      </x:c>
      <x:c r="B19" s="63" t="n">
        <x:v>1</x:v>
      </x:c>
      <x:c r="C19" s="63" t="str">
        <x:v>ua</x:v>
      </x:c>
      <x:c r="D19" s="78" t="str">
        <x:v>典型组合/弱谐波</x:v>
      </x:c>
      <x:c r="E19" s="66" t="n">
        <x:v>200</x:v>
      </x:c>
      <x:c r="F19" s="66" t="n">
        <x:v>38.5</x:v>
      </x:c>
      <x:c r="G19" s="67" t="n">
        <x:v>2</x:v>
      </x:c>
      <x:c r="H19" s="67" t="n">
        <x:v>3</x:v>
      </x:c>
      <x:c r="I19" s="66" t="n">
        <x:f>F19*H19</x:f>
        <x:v>115.5</x:v>
      </x:c>
      <x:c r="J19" s="68" t="n">
        <x:v>0.259</x:v>
      </x:c>
      <x:c r="K19" s="67" t="n">
        <x:v>90</x:v>
      </x:c>
      <x:c r="L19" s="67" t="n">
        <x:v>5</x:v>
      </x:c>
      <x:c r="M19" s="66" t="n">
        <x:f>IF(L19="","",F19*L19)</x:f>
        <x:v>192.5</x:v>
      </x:c>
      <x:c r="N19" s="68" t="n">
        <x:v>0.162</x:v>
      </x:c>
      <x:c r="O19" s="67" t="n">
        <x:v>120</x:v>
      </x:c>
      <x:c r="P19" s="69" t="n">
        <x:v>2.2759294907583527</x:v>
      </x:c>
      <x:c r="Q19" s="70" t="n">
        <x:f>E19/P19</x:f>
        <x:v>87.87618457079655</x:v>
      </x:c>
      <x:c r="R19" s="70" t="n">
        <x:f>2*Q19</x:f>
        <x:v>175.7523691415931</x:v>
      </x:c>
      <x:c r="S19" s="70" t="n">
        <x:f>Q19*J19</x:f>
        <x:v>22.75993180383631</x:v>
      </x:c>
      <x:c r="T19" s="70" t="n">
        <x:f>2*S19</x:f>
        <x:v>45.51986360767262</x:v>
      </x:c>
      <x:c r="U19" s="70" t="n">
        <x:f>IF(G19=2,Q19*N19,"")</x:f>
        <x:v>14.235941900469042</x:v>
      </x:c>
      <x:c r="V19" s="70" t="n">
        <x:f>IF(U19="","",2*U19)</x:f>
        <x:v>28.471883800938084</x:v>
      </x:c>
      <x:c r="W19" s="70" t="n">
        <x:f>SQRT((Q19^2+S19^2+IF(U19="",0,U19^2))/2)</x:f>
        <x:v>64.9726879243483</x:v>
      </x:c>
      <x:c r="X19" s="71" t="n">
        <x:v>0</x:v>
      </x:c>
      <x:c r="Y19" s="71"/>
      <x:c r="Z19" s="80" t="str">
        <x:v>基波初相位0°；幅值按总Vpp归一化</x:v>
      </x:c>
    </x:row>
    <x:row r="20">
      <x:c r="A20" s="62" t="n">
        <x:v>16</x:v>
      </x:c>
      <x:c r="B20" s="63" t="n">
        <x:v>1</x:v>
      </x:c>
      <x:c r="C20" s="63" t="str">
        <x:v>ua</x:v>
      </x:c>
      <x:c r="D20" s="78" t="str">
        <x:v>典型组合/频率上限/弱谐波</x:v>
      </x:c>
      <x:c r="E20" s="66" t="n">
        <x:v>225</x:v>
      </x:c>
      <x:c r="F20" s="66" t="n">
        <x:v>40</x:v>
      </x:c>
      <x:c r="G20" s="67" t="n">
        <x:v>2</x:v>
      </x:c>
      <x:c r="H20" s="67" t="n">
        <x:v>4</x:v>
      </x:c>
      <x:c r="I20" s="66" t="n">
        <x:f>F20*H20</x:f>
        <x:v>160</x:v>
      </x:c>
      <x:c r="J20" s="68" t="n">
        <x:v>0.408</x:v>
      </x:c>
      <x:c r="K20" s="67" t="n">
        <x:v>135</x:v>
      </x:c>
      <x:c r="L20" s="67" t="n">
        <x:v>5</x:v>
      </x:c>
      <x:c r="M20" s="66" t="n">
        <x:f>IF(L20="","",F20*L20)</x:f>
        <x:v>200</x:v>
      </x:c>
      <x:c r="N20" s="68" t="n">
        <x:v>0.2</x:v>
      </x:c>
      <x:c r="O20" s="67" t="n">
        <x:v>180</x:v>
      </x:c>
      <x:c r="P20" s="69" t="n">
        <x:v>2.7557227120084438</x:v>
      </x:c>
      <x:c r="Q20" s="70" t="n">
        <x:f>E20/P20</x:f>
        <x:v>81.64827289027713</x:v>
      </x:c>
      <x:c r="R20" s="70" t="n">
        <x:f>2*Q20</x:f>
        <x:v>163.29654578055425</x:v>
      </x:c>
      <x:c r="S20" s="70" t="n">
        <x:f>Q20*J20</x:f>
        <x:v>33.31249533923307</x:v>
      </x:c>
      <x:c r="T20" s="70" t="n">
        <x:f>2*S20</x:f>
        <x:v>66.62499067846613</x:v>
      </x:c>
      <x:c r="U20" s="70" t="n">
        <x:f>IF(G20=2,Q20*N20,"")</x:f>
        <x:v>16.329654578055425</x:v>
      </x:c>
      <x:c r="V20" s="70" t="n">
        <x:f>IF(U20="","",2*U20)</x:f>
        <x:v>32.65930915611085</x:v>
      </x:c>
      <x:c r="W20" s="70" t="n">
        <x:f>SQRT((Q20^2+S20^2+IF(U20="",0,U20^2))/2)</x:f>
        <x:v>63.4145899234955</x:v>
      </x:c>
      <x:c r="X20" s="71" t="n">
        <x:v>0</x:v>
      </x:c>
      <x:c r="Y20" s="71"/>
      <x:c r="Z20" s="80" t="str">
        <x:v>基波初相位0°；幅值按总Vpp归一化</x:v>
      </x:c>
    </x:row>
    <x:row r="21">
      <x:c r="A21" s="62" t="n">
        <x:v>17</x:v>
      </x:c>
      <x:c r="B21" s="63" t="n">
        <x:v>1</x:v>
      </x:c>
      <x:c r="C21" s="63" t="str">
        <x:v>ua</x:v>
      </x:c>
      <x:c r="D21" s="78" t="str">
        <x:v>典型组合/频率下限</x:v>
      </x:c>
      <x:c r="E21" s="66" t="n">
        <x:v>240</x:v>
      </x:c>
      <x:c r="F21" s="66" t="n">
        <x:v>10</x:v>
      </x:c>
      <x:c r="G21" s="67" t="n">
        <x:v>1</x:v>
      </x:c>
      <x:c r="H21" s="67" t="n">
        <x:v>2</x:v>
      </x:c>
      <x:c r="I21" s="66" t="n">
        <x:f>F21*H21</x:f>
        <x:v>20</x:v>
      </x:c>
      <x:c r="J21" s="68" t="n">
        <x:v>0.596</x:v>
      </x:c>
      <x:c r="K21" s="67" t="n">
        <x:v>180</x:v>
      </x:c>
      <x:c r="L21" s="67"/>
      <x:c r="M21" s="66" t="str">
        <x:f>IF(L21="","",F21*L21)</x:f>
      </x:c>
      <x:c r="N21" s="68"/>
      <x:c r="O21" s="67"/>
      <x:c r="P21" s="69" t="n">
        <x:v>2.7674769153086483</x:v>
      </x:c>
      <x:c r="Q21" s="70" t="n">
        <x:f>E21/P21</x:f>
        <x:v>86.72159058397548</x:v>
      </x:c>
      <x:c r="R21" s="70" t="n">
        <x:f>2*Q21</x:f>
        <x:v>173.44318116795097</x:v>
      </x:c>
      <x:c r="S21" s="70" t="n">
        <x:f>Q21*J21</x:f>
        <x:v>51.68606798804939</x:v>
      </x:c>
      <x:c r="T21" s="70" t="n">
        <x:f>2*S21</x:f>
        <x:v>103.37213597609878</x:v>
      </x:c>
      <x:c r="U21" s="70" t="str">
        <x:f>IF(G21=2,Q21*N21,"")</x:f>
      </x:c>
      <x:c r="V21" s="70" t="str">
        <x:f>IF(U21="","",2*U21)</x:f>
      </x:c>
      <x:c r="W21" s="70" t="n">
        <x:f>SQRT((Q21^2+S21^2+IF(U21="",0,U21^2))/2)</x:f>
        <x:v>71.38656700486419</x:v>
      </x:c>
      <x:c r="X21" s="71" t="n">
        <x:v>0</x:v>
      </x:c>
      <x:c r="Y21" s="71"/>
      <x:c r="Z21" s="80" t="str">
        <x:v>基波初相位0°；幅值按总Vpp归一化</x:v>
      </x:c>
    </x:row>
    <x:row r="22">
      <x:c r="A22" s="62" t="n">
        <x:v>18</x:v>
      </x:c>
      <x:c r="B22" s="63" t="n">
        <x:v>1</x:v>
      </x:c>
      <x:c r="C22" s="63" t="str">
        <x:v>ua</x:v>
      </x:c>
      <x:c r="D22" s="78" t="str">
        <x:v>幅值边界</x:v>
      </x:c>
      <x:c r="E22" s="66" t="n">
        <x:v>250</x:v>
      </x:c>
      <x:c r="F22" s="66" t="n">
        <x:v>21.5</x:v>
      </x:c>
      <x:c r="G22" s="67" t="n">
        <x:v>1</x:v>
      </x:c>
      <x:c r="H22" s="67" t="n">
        <x:v>3</x:v>
      </x:c>
      <x:c r="I22" s="66" t="n">
        <x:f>F22*H22</x:f>
        <x:v>64.5</x:v>
      </x:c>
      <x:c r="J22" s="68" t="n">
        <x:v>0.804</x:v>
      </x:c>
      <x:c r="K22" s="67" t="n">
        <x:v>270</x:v>
      </x:c>
      <x:c r="L22" s="67"/>
      <x:c r="M22" s="66" t="str">
        <x:f>IF(L22="","",F22*L22)</x:f>
      </x:c>
      <x:c r="N22" s="68"/>
      <x:c r="O22" s="67"/>
      <x:c r="P22" s="69" t="n">
        <x:v>3.3709481124046334</x:v>
      </x:c>
      <x:c r="Q22" s="70" t="n">
        <x:f>E22/P22</x:f>
        <x:v>74.16311128611972</x:v>
      </x:c>
      <x:c r="R22" s="70" t="n">
        <x:f>2*Q22</x:f>
        <x:v>148.32622257223943</x:v>
      </x:c>
      <x:c r="S22" s="70" t="n">
        <x:f>Q22*J22</x:f>
        <x:v>59.62714147404026</x:v>
      </x:c>
      <x:c r="T22" s="70" t="n">
        <x:f>2*S22</x:f>
        <x:v>119.25428294808052</x:v>
      </x:c>
      <x:c r="U22" s="70" t="str">
        <x:f>IF(G22=2,Q22*N22,"")</x:f>
      </x:c>
      <x:c r="V22" s="70" t="str">
        <x:f>IF(U22="","",2*U22)</x:f>
      </x:c>
      <x:c r="W22" s="70" t="n">
        <x:f>SQRT((Q22^2+S22^2+IF(U22="",0,U22^2))/2)</x:f>
        <x:v>67.28879206822853</x:v>
      </x:c>
      <x:c r="X22" s="71" t="n">
        <x:v>0</x:v>
      </x:c>
      <x:c r="Y22" s="71"/>
      <x:c r="Z22" s="80" t="str">
        <x:v>基波初相位0°；幅值按总Vpp归一化</x:v>
      </x:c>
    </x:row>
    <x:row r="23">
      <x:c r="A23" s="62" t="n">
        <x:v>19</x:v>
      </x:c>
      <x:c r="B23" s="63" t="n">
        <x:v>1</x:v>
      </x:c>
      <x:c r="C23" s="63" t="str">
        <x:v>ua</x:v>
      </x:c>
      <x:c r="D23" s="78" t="str">
        <x:v>幅值边界</x:v>
      </x:c>
      <x:c r="E23" s="66" t="n">
        <x:v>100</x:v>
      </x:c>
      <x:c r="F23" s="66" t="n">
        <x:v>24</x:v>
      </x:c>
      <x:c r="G23" s="67" t="n">
        <x:v>1</x:v>
      </x:c>
      <x:c r="H23" s="67" t="n">
        <x:v>4</x:v>
      </x:c>
      <x:c r="I23" s="66" t="n">
        <x:f>F23*H23</x:f>
        <x:v>96</x:v>
      </x:c>
      <x:c r="J23" s="68" t="n">
        <x:v>1.004</x:v>
      </x:c>
      <x:c r="K23" s="67" t="n">
        <x:v>0</x:v>
      </x:c>
      <x:c r="L23" s="67"/>
      <x:c r="M23" s="66" t="str">
        <x:f>IF(L23="","",F23*L23)</x:f>
      </x:c>
      <x:c r="N23" s="68"/>
      <x:c r="O23" s="67"/>
      <x:c r="P23" s="69" t="n">
        <x:v>3.8643837960412</x:v>
      </x:c>
      <x:c r="Q23" s="70" t="n">
        <x:f>E23/P23</x:f>
        <x:v>25.87734688838185</x:v>
      </x:c>
      <x:c r="R23" s="70" t="n">
        <x:f>2*Q23</x:f>
        <x:v>51.7546937767637</x:v>
      </x:c>
      <x:c r="S23" s="70" t="n">
        <x:f>Q23*J23</x:f>
        <x:v>25.980856275935377</x:v>
      </x:c>
      <x:c r="T23" s="70" t="n">
        <x:f>2*S23</x:f>
        <x:v>51.961712551870754</x:v>
      </x:c>
      <x:c r="U23" s="70" t="str">
        <x:f>IF(G23=2,Q23*N23,"")</x:f>
      </x:c>
      <x:c r="V23" s="70" t="str">
        <x:f>IF(U23="","",2*U23)</x:f>
      </x:c>
      <x:c r="W23" s="70" t="n">
        <x:f>SQRT((Q23^2+S23^2+IF(U23="",0,U23^2))/2)</x:f>
        <x:v>25.929153233498166</x:v>
      </x:c>
      <x:c r="X23" s="71" t="n">
        <x:v>0</x:v>
      </x:c>
      <x:c r="Y23" s="71"/>
      <x:c r="Z23" s="80" t="str">
        <x:v>基波初相位0°；幅值按总Vpp归一化</x:v>
      </x:c>
    </x:row>
    <x:row r="24">
      <x:c r="A24" s="62" t="n">
        <x:v>20</x:v>
      </x:c>
      <x:c r="B24" s="63" t="n">
        <x:v>1</x:v>
      </x:c>
      <x:c r="C24" s="63" t="str">
        <x:v>ua</x:v>
      </x:c>
      <x:c r="D24" s="78" t="str">
        <x:v>典型组合/弱谐波</x:v>
      </x:c>
      <x:c r="E24" s="66" t="n">
        <x:v>110</x:v>
      </x:c>
      <x:c r="F24" s="66" t="n">
        <x:v>25</x:v>
      </x:c>
      <x:c r="G24" s="67" t="n">
        <x:v>1</x:v>
      </x:c>
      <x:c r="H24" s="67" t="n">
        <x:v>5</x:v>
      </x:c>
      <x:c r="I24" s="66" t="n">
        <x:f>F24*H24</x:f>
        <x:v>125</x:v>
      </x:c>
      <x:c r="J24" s="68" t="n">
        <x:v>0.249</x:v>
      </x:c>
      <x:c r="K24" s="67" t="n">
        <x:v>45</x:v>
      </x:c>
      <x:c r="L24" s="67"/>
      <x:c r="M24" s="66" t="str">
        <x:f>IF(L24="","",F24*L24)</x:f>
      </x:c>
      <x:c r="N24" s="68"/>
      <x:c r="O24" s="67"/>
      <x:c r="P24" s="69" t="n">
        <x:v>2.47677191561101</x:v>
      </x:c>
      <x:c r="Q24" s="70" t="n">
        <x:f>E24/P24</x:f>
        <x:v>44.4126482970328</x:v>
      </x:c>
      <x:c r="R24" s="70" t="n">
        <x:f>2*Q24</x:f>
        <x:v>88.8252965940656</x:v>
      </x:c>
      <x:c r="S24" s="70" t="n">
        <x:f>Q24*J24</x:f>
        <x:v>11.058749425961167</x:v>
      </x:c>
      <x:c r="T24" s="70" t="n">
        <x:f>2*S24</x:f>
        <x:v>22.117498851922335</x:v>
      </x:c>
      <x:c r="U24" s="70" t="str">
        <x:f>IF(G24=2,Q24*N24,"")</x:f>
      </x:c>
      <x:c r="V24" s="70" t="str">
        <x:f>IF(U24="","",2*U24)</x:f>
      </x:c>
      <x:c r="W24" s="70" t="n">
        <x:f>SQRT((Q24^2+S24^2+IF(U24="",0,U24^2))/2)</x:f>
        <x:v>32.36339960219049</x:v>
      </x:c>
      <x:c r="X24" s="71" t="n">
        <x:v>0</x:v>
      </x:c>
      <x:c r="Y24" s="71"/>
      <x:c r="Z24" s="80" t="str">
        <x:v>基波初相位0°；幅值按总Vpp归一化</x:v>
      </x:c>
    </x:row>
    <x:row r="25">
      <x:c r="A25" s="62" t="n">
        <x:v>21</x:v>
      </x:c>
      <x:c r="B25" s="63" t="n">
        <x:v>1</x:v>
      </x:c>
      <x:c r="C25" s="63" t="str">
        <x:v>ua</x:v>
      </x:c>
      <x:c r="D25" s="78" t="str">
        <x:v>典型组合/弱谐波</x:v>
      </x:c>
      <x:c r="E25" s="66" t="n">
        <x:v>125</x:v>
      </x:c>
      <x:c r="F25" s="66" t="n">
        <x:v>47</x:v>
      </x:c>
      <x:c r="G25" s="67" t="n">
        <x:v>2</x:v>
      </x:c>
      <x:c r="H25" s="67" t="n">
        <x:v>2</x:v>
      </x:c>
      <x:c r="I25" s="66" t="n">
        <x:f>F25*H25</x:f>
        <x:v>94</x:v>
      </x:c>
      <x:c r="J25" s="68" t="n">
        <x:v>0.415</x:v>
      </x:c>
      <x:c r="K25" s="67" t="n">
        <x:v>90</x:v>
      </x:c>
      <x:c r="L25" s="67" t="n">
        <x:v>3</x:v>
      </x:c>
      <x:c r="M25" s="66" t="n">
        <x:f>IF(L25="","",F25*L25)</x:f>
        <x:v>141</x:v>
      </x:c>
      <x:c r="N25" s="68" t="n">
        <x:v>0.211</x:v>
      </x:c>
      <x:c r="O25" s="67" t="n">
        <x:v>120</x:v>
      </x:c>
      <x:c r="P25" s="69" t="n">
        <x:v>2.4039833422610615</x:v>
      </x:c>
      <x:c r="Q25" s="70" t="n">
        <x:f>E25/P25</x:f>
        <x:v>51.99703250956453</x:v>
      </x:c>
      <x:c r="R25" s="70" t="n">
        <x:f>2*Q25</x:f>
        <x:v>103.99406501912905</x:v>
      </x:c>
      <x:c r="S25" s="70" t="n">
        <x:f>Q25*J25</x:f>
        <x:v>21.578768491469276</x:v>
      </x:c>
      <x:c r="T25" s="70" t="n">
        <x:f>2*S25</x:f>
        <x:v>43.15753698293855</x:v>
      </x:c>
      <x:c r="U25" s="70" t="n">
        <x:f>IF(G25=2,Q25*N25,"")</x:f>
        <x:v>10.971373859518115</x:v>
      </x:c>
      <x:c r="V25" s="70" t="n">
        <x:f>IF(U25="","",2*U25)</x:f>
        <x:v>21.94274771903623</x:v>
      </x:c>
      <x:c r="W25" s="70" t="n">
        <x:f>SQRT((Q25^2+S25^2+IF(U25="",0,U25^2))/2)</x:f>
        <x:v>40.556785398835885</x:v>
      </x:c>
      <x:c r="X25" s="71" t="n">
        <x:v>0</x:v>
      </x:c>
      <x:c r="Y25" s="71"/>
      <x:c r="Z25" s="80" t="str">
        <x:v>基波初相位0°；幅值按总Vpp归一化</x:v>
      </x:c>
    </x:row>
    <x:row r="26">
      <x:c r="A26" s="62" t="n">
        <x:v>22</x:v>
      </x:c>
      <x:c r="B26" s="63" t="n">
        <x:v>1</x:v>
      </x:c>
      <x:c r="C26" s="63" t="str">
        <x:v>ua</x:v>
      </x:c>
      <x:c r="D26" s="78" t="str">
        <x:v>典型组合</x:v>
      </x:c>
      <x:c r="E26" s="66" t="n">
        <x:v>150</x:v>
      </x:c>
      <x:c r="F26" s="66" t="n">
        <x:v>42</x:v>
      </x:c>
      <x:c r="G26" s="67" t="n">
        <x:v>2</x:v>
      </x:c>
      <x:c r="H26" s="67" t="n">
        <x:v>2</x:v>
      </x:c>
      <x:c r="I26" s="66" t="n">
        <x:f>F26*H26</x:f>
        <x:v>84</x:v>
      </x:c>
      <x:c r="J26" s="68" t="n">
        <x:v>0.519</x:v>
      </x:c>
      <x:c r="K26" s="67" t="n">
        <x:v>135</x:v>
      </x:c>
      <x:c r="L26" s="67" t="n">
        <x:v>4</x:v>
      </x:c>
      <x:c r="M26" s="66" t="n">
        <x:f>IF(L26="","",F26*L26)</x:f>
        <x:v>168</x:v>
      </x:c>
      <x:c r="N26" s="68" t="n">
        <x:v>0.285</x:v>
      </x:c>
      <x:c r="O26" s="67" t="n">
        <x:v>180</x:v>
      </x:c>
      <x:c r="P26" s="69" t="n">
        <x:v>2.6418442417735424</x:v>
      </x:c>
      <x:c r="Q26" s="70" t="n">
        <x:f>E26/P26</x:f>
        <x:v>56.77851768403306</x:v>
      </x:c>
      <x:c r="R26" s="70" t="n">
        <x:f>2*Q26</x:f>
        <x:v>113.55703536806612</x:v>
      </x:c>
      <x:c r="S26" s="70" t="n">
        <x:f>Q26*J26</x:f>
        <x:v>29.46805067801316</x:v>
      </x:c>
      <x:c r="T26" s="70" t="n">
        <x:f>2*S26</x:f>
        <x:v>58.93610135602632</x:v>
      </x:c>
      <x:c r="U26" s="70" t="n">
        <x:f>IF(G26=2,Q26*N26,"")</x:f>
        <x:v>16.181877539949422</x:v>
      </x:c>
      <x:c r="V26" s="70" t="n">
        <x:f>IF(U26="","",2*U26)</x:f>
        <x:v>32.363755079898844</x:v>
      </x:c>
      <x:c r="W26" s="70" t="n">
        <x:f>SQRT((Q26^2+S26^2+IF(U26="",0,U26^2))/2)</x:f>
        <x:v>46.65843568892942</x:v>
      </x:c>
      <x:c r="X26" s="71" t="n">
        <x:v>0</x:v>
      </x:c>
      <x:c r="Y26" s="71"/>
      <x:c r="Z26" s="80" t="str">
        <x:v>基波初相位0°；幅值按总Vpp归一化</x:v>
      </x:c>
    </x:row>
    <x:row r="27">
      <x:c r="A27" s="62" t="n">
        <x:v>23</x:v>
      </x:c>
      <x:c r="B27" s="63" t="n">
        <x:v>1</x:v>
      </x:c>
      <x:c r="C27" s="63" t="str">
        <x:v>ua</x:v>
      </x:c>
      <x:c r="D27" s="78" t="str">
        <x:v>典型组合</x:v>
      </x:c>
      <x:c r="E27" s="66" t="n">
        <x:v>175</x:v>
      </x:c>
      <x:c r="F27" s="66" t="n">
        <x:v>48</x:v>
      </x:c>
      <x:c r="G27" s="67" t="n">
        <x:v>2</x:v>
      </x:c>
      <x:c r="H27" s="67" t="n">
        <x:v>3</x:v>
      </x:c>
      <x:c r="I27" s="66" t="n">
        <x:f>F27*H27</x:f>
        <x:v>144</x:v>
      </x:c>
      <x:c r="J27" s="68" t="n">
        <x:v>0.753</x:v>
      </x:c>
      <x:c r="K27" s="67" t="n">
        <x:v>180</x:v>
      </x:c>
      <x:c r="L27" s="67" t="n">
        <x:v>4</x:v>
      </x:c>
      <x:c r="M27" s="66" t="n">
        <x:f>IF(L27="","",F27*L27)</x:f>
        <x:v>192</x:v>
      </x:c>
      <x:c r="N27" s="68" t="n">
        <x:v>0.41</x:v>
      </x:c>
      <x:c r="O27" s="67" t="n">
        <x:v>240</x:v>
      </x:c>
      <x:c r="P27" s="69" t="n">
        <x:v>3.635206204550541</x:v>
      </x:c>
      <x:c r="Q27" s="70" t="n">
        <x:f>E27/P27</x:f>
        <x:v>48.14032276379136</x:v>
      </x:c>
      <x:c r="R27" s="70" t="n">
        <x:f>2*Q27</x:f>
        <x:v>96.28064552758272</x:v>
      </x:c>
      <x:c r="S27" s="70" t="n">
        <x:f>Q27*J27</x:f>
        <x:v>36.249663041134895</x:v>
      </x:c>
      <x:c r="T27" s="70" t="n">
        <x:f>2*S27</x:f>
        <x:v>72.49932608226979</x:v>
      </x:c>
      <x:c r="U27" s="70" t="n">
        <x:f>IF(G27=2,Q27*N27,"")</x:f>
        <x:v>19.737532333154455</x:v>
      </x:c>
      <x:c r="V27" s="70" t="n">
        <x:f>IF(U27="","",2*U27)</x:f>
        <x:v>39.47506466630891</x:v>
      </x:c>
      <x:c r="W27" s="70" t="n">
        <x:f>SQRT((Q27^2+S27^2+IF(U27="",0,U27^2))/2)</x:f>
        <x:v>44.839151023408924</x:v>
      </x:c>
      <x:c r="X27" s="71" t="n">
        <x:v>0</x:v>
      </x:c>
      <x:c r="Y27" s="71"/>
      <x:c r="Z27" s="80" t="str">
        <x:v>基波初相位0°；幅值按总Vpp归一化</x:v>
      </x:c>
    </x:row>
    <x:row r="28">
      <x:c r="A28" s="62" t="n">
        <x:v>24</x:v>
      </x:c>
      <x:c r="B28" s="63" t="n">
        <x:v>1</x:v>
      </x:c>
      <x:c r="C28" s="63" t="str">
        <x:v>ua</x:v>
      </x:c>
      <x:c r="D28" s="78" t="str">
        <x:v>典型组合/频率上限</x:v>
      </x:c>
      <x:c r="E28" s="66" t="n">
        <x:v>200</x:v>
      </x:c>
      <x:c r="F28" s="66" t="n">
        <x:v>40</x:v>
      </x:c>
      <x:c r="G28" s="67" t="n">
        <x:v>2</x:v>
      </x:c>
      <x:c r="H28" s="67" t="n">
        <x:v>3</x:v>
      </x:c>
      <x:c r="I28" s="66" t="n">
        <x:f>F28*H28</x:f>
        <x:v>120</x:v>
      </x:c>
      <x:c r="J28" s="68" t="n">
        <x:v>0.991</x:v>
      </x:c>
      <x:c r="K28" s="67" t="n">
        <x:v>270</x:v>
      </x:c>
      <x:c r="L28" s="67" t="n">
        <x:v>5</x:v>
      </x:c>
      <x:c r="M28" s="66" t="n">
        <x:f>IF(L28="","",F28*L28)</x:f>
        <x:v>200</x:v>
      </x:c>
      <x:c r="N28" s="68" t="n">
        <x:v>0.491</x:v>
      </x:c>
      <x:c r="O28" s="67" t="n">
        <x:v>0</x:v>
      </x:c>
      <x:c r="P28" s="69" t="n">
        <x:v>3.6126978860684478</x:v>
      </x:c>
      <x:c r="Q28" s="70" t="n">
        <x:f>E28/P28</x:f>
        <x:v>55.360289265054455</x:v>
      </x:c>
      <x:c r="R28" s="70" t="n">
        <x:f>2*Q28</x:f>
        <x:v>110.72057853010891</x:v>
      </x:c>
      <x:c r="S28" s="70" t="n">
        <x:f>Q28*J28</x:f>
        <x:v>54.86204666166896</x:v>
      </x:c>
      <x:c r="T28" s="70" t="n">
        <x:f>2*S28</x:f>
        <x:v>109.72409332333793</x:v>
      </x:c>
      <x:c r="U28" s="70" t="n">
        <x:f>IF(G28=2,Q28*N28,"")</x:f>
        <x:v>27.181902029141735</x:v>
      </x:c>
      <x:c r="V28" s="70" t="n">
        <x:f>IF(U28="","",2*U28)</x:f>
        <x:v>54.36380405828347</x:v>
      </x:c>
      <x:c r="W28" s="70" t="n">
        <x:f>SQRT((Q28^2+S28^2+IF(U28="",0,U28^2))/2)</x:f>
        <x:v>58.36720650048066</x:v>
      </x:c>
      <x:c r="X28" s="71" t="n">
        <x:v>0</x:v>
      </x:c>
      <x:c r="Y28" s="71"/>
      <x:c r="Z28" s="80" t="str">
        <x:v>基波初相位0°；幅值按总Vpp归一化</x:v>
      </x:c>
    </x:row>
    <x:row r="29">
      <x:c r="A29" s="62" t="n">
        <x:v>25</x:v>
      </x:c>
      <x:c r="B29" s="63" t="n">
        <x:v>1</x:v>
      </x:c>
      <x:c r="C29" s="63" t="str">
        <x:v>ua</x:v>
      </x:c>
      <x:c r="D29" s="78" t="str">
        <x:v>典型组合/频率下限/弱谐波</x:v>
      </x:c>
      <x:c r="E29" s="66" t="n">
        <x:v>225</x:v>
      </x:c>
      <x:c r="F29" s="66" t="n">
        <x:v>10</x:v>
      </x:c>
      <x:c r="G29" s="67" t="n">
        <x:v>2</x:v>
      </x:c>
      <x:c r="H29" s="67" t="n">
        <x:v>4</x:v>
      </x:c>
      <x:c r="I29" s="66" t="n">
        <x:f>F29*H29</x:f>
        <x:v>40</x:v>
      </x:c>
      <x:c r="J29" s="68" t="n">
        <x:v>0.255</x:v>
      </x:c>
      <x:c r="K29" s="67" t="n">
        <x:v>0</x:v>
      </x:c>
      <x:c r="L29" s="67" t="n">
        <x:v>5</x:v>
      </x:c>
      <x:c r="M29" s="66" t="n">
        <x:f>IF(L29="","",F29*L29)</x:f>
        <x:v>50</x:v>
      </x:c>
      <x:c r="N29" s="68" t="n">
        <x:v>0.138</x:v>
      </x:c>
      <x:c r="O29" s="67" t="n">
        <x:v>30</x:v>
      </x:c>
      <x:c r="P29" s="69" t="n">
        <x:v>2.461650749519631</x:v>
      </x:c>
      <x:c r="Q29" s="70" t="n">
        <x:f>E29/P29</x:f>
        <x:v>91.40208051199251</x:v>
      </x:c>
      <x:c r="R29" s="70" t="n">
        <x:f>2*Q29</x:f>
        <x:v>182.80416102398502</x:v>
      </x:c>
      <x:c r="S29" s="70" t="n">
        <x:f>Q29*J29</x:f>
        <x:v>23.30753053055809</x:v>
      </x:c>
      <x:c r="T29" s="70" t="n">
        <x:f>2*S29</x:f>
        <x:v>46.61506106111618</x:v>
      </x:c>
      <x:c r="U29" s="70" t="n">
        <x:f>IF(G29=2,Q29*N29,"")</x:f>
        <x:v>12.613487110654967</x:v>
      </x:c>
      <x:c r="V29" s="70" t="n">
        <x:f>IF(U29="","",2*U29)</x:f>
        <x:v>25.226974221309934</x:v>
      </x:c>
      <x:c r="W29" s="70" t="n">
        <x:f>SQRT((Q29^2+S29^2+IF(U29="",0,U29^2))/2)</x:f>
        <x:v>67.2929467271434</x:v>
      </x:c>
      <x:c r="X29" s="71" t="n">
        <x:v>0</x:v>
      </x:c>
      <x:c r="Y29" s="71"/>
      <x:c r="Z29" s="80" t="str">
        <x:v>基波初相位0°；幅值按总Vpp归一化</x:v>
      </x:c>
    </x:row>
    <x:row r="30">
      <x:c r="A30" s="62" t="n">
        <x:v>26</x:v>
      </x:c>
      <x:c r="B30" s="63" t="n">
        <x:v>1</x:v>
      </x:c>
      <x:c r="C30" s="63" t="str">
        <x:v>ua</x:v>
      </x:c>
      <x:c r="D30" s="78" t="str">
        <x:v>典型组合</x:v>
      </x:c>
      <x:c r="E30" s="66" t="n">
        <x:v>240</x:v>
      </x:c>
      <x:c r="F30" s="66" t="n">
        <x:v>28</x:v>
      </x:c>
      <x:c r="G30" s="67" t="n">
        <x:v>1</x:v>
      </x:c>
      <x:c r="H30" s="67" t="n">
        <x:v>2</x:v>
      </x:c>
      <x:c r="I30" s="66" t="n">
        <x:f>F30*H30</x:f>
        <x:v>56</x:v>
      </x:c>
      <x:c r="J30" s="68" t="n">
        <x:v>0.384</x:v>
      </x:c>
      <x:c r="K30" s="67" t="n">
        <x:v>45</x:v>
      </x:c>
      <x:c r="L30" s="67"/>
      <x:c r="M30" s="66" t="str">
        <x:f>IF(L30="","",F30*L30)</x:f>
      </x:c>
      <x:c r="N30" s="68"/>
      <x:c r="O30" s="67"/>
      <x:c r="P30" s="69" t="n">
        <x:v>2.3239334913121237</x:v>
      </x:c>
      <x:c r="Q30" s="70" t="n">
        <x:f>E30/P30</x:f>
        <x:v>103.27317924425316</x:v>
      </x:c>
      <x:c r="R30" s="70" t="n">
        <x:f>2*Q30</x:f>
        <x:v>206.5463584885063</x:v>
      </x:c>
      <x:c r="S30" s="70" t="n">
        <x:f>Q30*J30</x:f>
        <x:v>39.656900829793216</x:v>
      </x:c>
      <x:c r="T30" s="70" t="n">
        <x:f>2*S30</x:f>
        <x:v>79.31380165958643</x:v>
      </x:c>
      <x:c r="U30" s="70" t="str">
        <x:f>IF(G30=2,Q30*N30,"")</x:f>
      </x:c>
      <x:c r="V30" s="70" t="str">
        <x:f>IF(U30="","",2*U30)</x:f>
      </x:c>
      <x:c r="W30" s="70" t="n">
        <x:f>SQRT((Q30^2+S30^2+IF(U30="",0,U30^2))/2)</x:f>
        <x:v>78.22409901890751</x:v>
      </x:c>
      <x:c r="X30" s="71" t="n">
        <x:v>0</x:v>
      </x:c>
      <x:c r="Y30" s="71"/>
      <x:c r="Z30" s="80" t="str">
        <x:v>基波初相位0°；幅值按总Vpp归一化</x:v>
      </x:c>
    </x:row>
    <x:row r="31">
      <x:c r="A31" s="62" t="n">
        <x:v>27</x:v>
      </x:c>
      <x:c r="B31" s="63" t="n">
        <x:v>1</x:v>
      </x:c>
      <x:c r="C31" s="63" t="str">
        <x:v>ua</x:v>
      </x:c>
      <x:c r="D31" s="78" t="str">
        <x:v>幅值边界</x:v>
      </x:c>
      <x:c r="E31" s="66" t="n">
        <x:v>250</x:v>
      </x:c>
      <x:c r="F31" s="66" t="n">
        <x:v>30</x:v>
      </x:c>
      <x:c r="G31" s="67" t="n">
        <x:v>1</x:v>
      </x:c>
      <x:c r="H31" s="67" t="n">
        <x:v>3</x:v>
      </x:c>
      <x:c r="I31" s="66" t="n">
        <x:f>F31*H31</x:f>
        <x:v>90</x:v>
      </x:c>
      <x:c r="J31" s="68" t="n">
        <x:v>0.597</x:v>
      </x:c>
      <x:c r="K31" s="67" t="n">
        <x:v>90</x:v>
      </x:c>
      <x:c r="L31" s="67"/>
      <x:c r="M31" s="66" t="str">
        <x:f>IF(L31="","",F31*L31)</x:f>
      </x:c>
      <x:c r="N31" s="68"/>
      <x:c r="O31" s="67"/>
      <x:c r="P31" s="69" t="n">
        <x:v>2.966205400225363</x:v>
      </x:c>
      <x:c r="Q31" s="70" t="n">
        <x:f>E31/P31</x:f>
        <x:v>84.28276746479047</x:v>
      </x:c>
      <x:c r="R31" s="70" t="n">
        <x:f>2*Q31</x:f>
        <x:v>168.56553492958093</x:v>
      </x:c>
      <x:c r="S31" s="70" t="n">
        <x:f>Q31*J31</x:f>
        <x:v>50.31681217647991</x:v>
      </x:c>
      <x:c r="T31" s="70" t="n">
        <x:f>2*S31</x:f>
        <x:v>100.63362435295981</x:v>
      </x:c>
      <x:c r="U31" s="70" t="str">
        <x:f>IF(G31=2,Q31*N31,"")</x:f>
      </x:c>
      <x:c r="V31" s="70" t="str">
        <x:f>IF(U31="","",2*U31)</x:f>
      </x:c>
      <x:c r="W31" s="70" t="n">
        <x:f>SQRT((Q31^2+S31^2+IF(U31="",0,U31^2))/2)</x:f>
        <x:v>69.40953277154046</x:v>
      </x:c>
      <x:c r="X31" s="71" t="n">
        <x:v>0</x:v>
      </x:c>
      <x:c r="Y31" s="71"/>
      <x:c r="Z31" s="80" t="str">
        <x:v>基波初相位0°；幅值按总Vpp归一化</x:v>
      </x:c>
    </x:row>
    <x:row r="32">
      <x:c r="A32" s="62" t="n">
        <x:v>28</x:v>
      </x:c>
      <x:c r="B32" s="63" t="n">
        <x:v>1</x:v>
      </x:c>
      <x:c r="C32" s="63" t="str">
        <x:v>ua</x:v>
      </x:c>
      <x:c r="D32" s="78" t="str">
        <x:v>幅值边界</x:v>
      </x:c>
      <x:c r="E32" s="66" t="n">
        <x:v>100</x:v>
      </x:c>
      <x:c r="F32" s="66" t="n">
        <x:v>30</x:v>
      </x:c>
      <x:c r="G32" s="67" t="n">
        <x:v>1</x:v>
      </x:c>
      <x:c r="H32" s="67" t="n">
        <x:v>4</x:v>
      </x:c>
      <x:c r="I32" s="66" t="n">
        <x:f>F32*H32</x:f>
        <x:v>120</x:v>
      </x:c>
      <x:c r="J32" s="68" t="n">
        <x:v>0.811</x:v>
      </x:c>
      <x:c r="K32" s="67" t="n">
        <x:v>135</x:v>
      </x:c>
      <x:c r="L32" s="67"/>
      <x:c r="M32" s="66" t="str">
        <x:f>IF(L32="","",F32*L32)</x:f>
      </x:c>
      <x:c r="N32" s="68"/>
      <x:c r="O32" s="67"/>
      <x:c r="P32" s="69" t="n">
        <x:v>3.4468126930851817</x:v>
      </x:c>
      <x:c r="Q32" s="70" t="n">
        <x:f>E32/P32</x:f>
        <x:v>29.01231047472201</x:v>
      </x:c>
      <x:c r="R32" s="70" t="n">
        <x:f>2*Q32</x:f>
        <x:v>58.02462094944402</x:v>
      </x:c>
      <x:c r="S32" s="70" t="n">
        <x:f>Q32*J32</x:f>
        <x:v>23.52898379499955</x:v>
      </x:c>
      <x:c r="T32" s="70" t="n">
        <x:f>2*S32</x:f>
        <x:v>47.0579675899991</x:v>
      </x:c>
      <x:c r="U32" s="70" t="str">
        <x:f>IF(G32=2,Q32*N32,"")</x:f>
      </x:c>
      <x:c r="V32" s="70" t="str">
        <x:f>IF(U32="","",2*U32)</x:f>
      </x:c>
      <x:c r="W32" s="70" t="n">
        <x:f>SQRT((Q32^2+S32^2+IF(U32="",0,U32^2))/2)</x:f>
        <x:v>26.41332275109491</x:v>
      </x:c>
      <x:c r="X32" s="71" t="n">
        <x:v>0</x:v>
      </x:c>
      <x:c r="Y32" s="71"/>
      <x:c r="Z32" s="80" t="str">
        <x:v>基波初相位0°；幅值按总Vpp归一化</x:v>
      </x:c>
    </x:row>
    <x:row r="33">
      <x:c r="A33" s="62" t="n">
        <x:v>29</x:v>
      </x:c>
      <x:c r="B33" s="63" t="n">
        <x:v>1</x:v>
      </x:c>
      <x:c r="C33" s="63" t="str">
        <x:v>ua</x:v>
      </x:c>
      <x:c r="D33" s="78" t="str">
        <x:v>典型组合</x:v>
      </x:c>
      <x:c r="E33" s="66" t="n">
        <x:v>110</x:v>
      </x:c>
      <x:c r="F33" s="66" t="n">
        <x:v>29.5</x:v>
      </x:c>
      <x:c r="G33" s="67" t="n">
        <x:v>1</x:v>
      </x:c>
      <x:c r="H33" s="67" t="n">
        <x:v>5</x:v>
      </x:c>
      <x:c r="I33" s="66" t="n">
        <x:f>F33*H33</x:f>
        <x:v>147.5</x:v>
      </x:c>
      <x:c r="J33" s="68" t="n">
        <x:v>0.987</x:v>
      </x:c>
      <x:c r="K33" s="67" t="n">
        <x:v>180</x:v>
      </x:c>
      <x:c r="L33" s="67"/>
      <x:c r="M33" s="66" t="str">
        <x:f>IF(L33="","",F33*L33)</x:f>
      </x:c>
      <x:c r="N33" s="68"/>
      <x:c r="O33" s="67"/>
      <x:c r="P33" s="69" t="n">
        <x:v>3.605603334824081</x:v>
      </x:c>
      <x:c r="Q33" s="70" t="n">
        <x:f>E33/P33</x:f>
        <x:v>30.50807029647008</x:v>
      </x:c>
      <x:c r="R33" s="70" t="n">
        <x:f>2*Q33</x:f>
        <x:v>61.01614059294016</x:v>
      </x:c>
      <x:c r="S33" s="70" t="n">
        <x:f>Q33*J33</x:f>
        <x:v>30.111465382615968</x:v>
      </x:c>
      <x:c r="T33" s="70" t="n">
        <x:f>2*S33</x:f>
        <x:v>60.222930765231936</x:v>
      </x:c>
      <x:c r="U33" s="70" t="str">
        <x:f>IF(G33=2,Q33*N33,"")</x:f>
      </x:c>
      <x:c r="V33" s="70" t="str">
        <x:f>IF(U33="","",2*U33)</x:f>
      </x:c>
      <x:c r="W33" s="70" t="n">
        <x:f>SQRT((Q33^2+S33^2+IF(U33="",0,U33^2))/2)</x:f>
        <x:v>30.310416532133303</x:v>
      </x:c>
      <x:c r="X33" s="71" t="n">
        <x:v>0</x:v>
      </x:c>
      <x:c r="Y33" s="71"/>
      <x:c r="Z33" s="80" t="str">
        <x:v>基波初相位0°；幅值按总Vpp归一化</x:v>
      </x:c>
    </x:row>
    <x:row r="34">
      <x:c r="A34" s="62" t="n">
        <x:v>30</x:v>
      </x:c>
      <x:c r="B34" s="63" t="n">
        <x:v>1</x:v>
      </x:c>
      <x:c r="C34" s="63" t="str">
        <x:v>ua</x:v>
      </x:c>
      <x:c r="D34" s="78" t="str">
        <x:v>典型组合/弱谐波</x:v>
      </x:c>
      <x:c r="E34" s="66" t="n">
        <x:v>125</x:v>
      </x:c>
      <x:c r="F34" s="66" t="n">
        <x:v>55.5</x:v>
      </x:c>
      <x:c r="G34" s="67" t="n">
        <x:v>2</x:v>
      </x:c>
      <x:c r="H34" s="67" t="n">
        <x:v>2</x:v>
      </x:c>
      <x:c r="I34" s="66" t="n">
        <x:f>F34*H34</x:f>
        <x:v>111</x:v>
      </x:c>
      <x:c r="J34" s="68" t="n">
        <x:v>0.256</x:v>
      </x:c>
      <x:c r="K34" s="67" t="n">
        <x:v>270</x:v>
      </x:c>
      <x:c r="L34" s="67" t="n">
        <x:v>3</x:v>
      </x:c>
      <x:c r="M34" s="66" t="n">
        <x:f>IF(L34="","",F34*L34)</x:f>
        <x:v>166.5</x:v>
      </x:c>
      <x:c r="N34" s="68" t="n">
        <x:v>0.158</x:v>
      </x:c>
      <x:c r="O34" s="67" t="n">
        <x:v>0</x:v>
      </x:c>
      <x:c r="P34" s="69" t="n">
        <x:v>1.9222247147642362</x:v>
      </x:c>
      <x:c r="Q34" s="70" t="n">
        <x:f>E34/P34</x:f>
        <x:v>65.02881741135631</x:v>
      </x:c>
      <x:c r="R34" s="70" t="n">
        <x:f>2*Q34</x:f>
        <x:v>130.05763482271263</x:v>
      </x:c>
      <x:c r="S34" s="70" t="n">
        <x:f>Q34*J34</x:f>
        <x:v>16.647377257307216</x:v>
      </x:c>
      <x:c r="T34" s="70" t="n">
        <x:f>2*S34</x:f>
        <x:v>33.29475451461443</x:v>
      </x:c>
      <x:c r="U34" s="70" t="n">
        <x:f>IF(G34=2,Q34*N34,"")</x:f>
        <x:v>10.274553150994297</x:v>
      </x:c>
      <x:c r="V34" s="70" t="n">
        <x:f>IF(U34="","",2*U34)</x:f>
        <x:v>20.549106301988594</x:v>
      </x:c>
      <x:c r="W34" s="70" t="n">
        <x:f>SQRT((Q34^2+S34^2+IF(U34="",0,U34^2))/2)</x:f>
        <x:v>48.01795865048427</x:v>
      </x:c>
      <x:c r="X34" s="71" t="n">
        <x:v>0</x:v>
      </x:c>
      <x:c r="Y34" s="71"/>
      <x:c r="Z34" s="80" t="str">
        <x:v>基波初相位0°；幅值按总Vpp归一化</x:v>
      </x:c>
    </x:row>
    <x:row r="35">
      <x:c r="A35" s="62" t="n">
        <x:v>31</x:v>
      </x:c>
      <x:c r="B35" s="63" t="n">
        <x:v>1</x:v>
      </x:c>
      <x:c r="C35" s="63" t="str">
        <x:v>ua</x:v>
      </x:c>
      <x:c r="D35" s="78" t="str">
        <x:v>典型组合/弱谐波</x:v>
      </x:c>
      <x:c r="E35" s="66" t="n">
        <x:v>150</x:v>
      </x:c>
      <x:c r="F35" s="66" t="n">
        <x:v>48</x:v>
      </x:c>
      <x:c r="G35" s="67" t="n">
        <x:v>2</x:v>
      </x:c>
      <x:c r="H35" s="67" t="n">
        <x:v>2</x:v>
      </x:c>
      <x:c r="I35" s="66" t="n">
        <x:f>F35*H35</x:f>
        <x:v>96</x:v>
      </x:c>
      <x:c r="J35" s="68" t="n">
        <x:v>0.391</x:v>
      </x:c>
      <x:c r="K35" s="67" t="n">
        <x:v>0</x:v>
      </x:c>
      <x:c r="L35" s="67" t="n">
        <x:v>4</x:v>
      </x:c>
      <x:c r="M35" s="66" t="n">
        <x:f>IF(L35="","",F35*L35)</x:f>
        <x:v>192</x:v>
      </x:c>
      <x:c r="N35" s="68" t="n">
        <x:v>0.188</x:v>
      </x:c>
      <x:c r="O35" s="67" t="n">
        <x:v>30</x:v>
      </x:c>
      <x:c r="P35" s="69" t="n">
        <x:v>2.290145779376559</x:v>
      </x:c>
      <x:c r="Q35" s="70" t="n">
        <x:f>E35/P35</x:f>
        <x:v>65.49801386042513</x:v>
      </x:c>
      <x:c r="R35" s="70" t="n">
        <x:f>2*Q35</x:f>
        <x:v>130.99602772085026</x:v>
      </x:c>
      <x:c r="S35" s="70" t="n">
        <x:f>Q35*J35</x:f>
        <x:v>25.609723419426228</x:v>
      </x:c>
      <x:c r="T35" s="70" t="n">
        <x:f>2*S35</x:f>
        <x:v>51.219446838852456</x:v>
      </x:c>
      <x:c r="U35" s="70" t="n">
        <x:f>IF(G35=2,Q35*N35,"")</x:f>
        <x:v>12.313626605759925</x:v>
      </x:c>
      <x:c r="V35" s="70" t="n">
        <x:f>IF(U35="","",2*U35)</x:f>
        <x:v>24.62725321151985</x:v>
      </x:c>
      <x:c r="W35" s="70" t="n">
        <x:f>SQRT((Q35^2+S35^2+IF(U35="",0,U35^2))/2)</x:f>
        <x:v>50.4850133874699</x:v>
      </x:c>
      <x:c r="X35" s="71" t="n">
        <x:v>0</x:v>
      </x:c>
      <x:c r="Y35" s="71"/>
      <x:c r="Z35" s="80" t="str">
        <x:v>基波初相位0°；幅值按总Vpp归一化</x:v>
      </x:c>
    </x:row>
    <x:row r="36">
      <x:c r="A36" s="62" t="n">
        <x:v>32</x:v>
      </x:c>
      <x:c r="B36" s="63" t="n">
        <x:v>1</x:v>
      </x:c>
      <x:c r="C36" s="63" t="str">
        <x:v>ua</x:v>
      </x:c>
      <x:c r="D36" s="78" t="str">
        <x:v>典型组合/频率上限</x:v>
      </x:c>
      <x:c r="E36" s="66" t="n">
        <x:v>175</x:v>
      </x:c>
      <x:c r="F36" s="66" t="n">
        <x:v>50</x:v>
      </x:c>
      <x:c r="G36" s="67" t="n">
        <x:v>2</x:v>
      </x:c>
      <x:c r="H36" s="67" t="n">
        <x:v>3</x:v>
      </x:c>
      <x:c r="I36" s="66" t="n">
        <x:f>F36*H36</x:f>
        <x:v>150</x:v>
      </x:c>
      <x:c r="J36" s="68" t="n">
        <x:v>0.513</x:v>
      </x:c>
      <x:c r="K36" s="67" t="n">
        <x:v>45</x:v>
      </x:c>
      <x:c r="L36" s="67" t="n">
        <x:v>4</x:v>
      </x:c>
      <x:c r="M36" s="66" t="n">
        <x:f>IF(L36="","",F36*L36)</x:f>
        <x:v>200</x:v>
      </x:c>
      <x:c r="N36" s="68" t="n">
        <x:v>0.303</x:v>
      </x:c>
      <x:c r="O36" s="67" t="n">
        <x:v>60</x:v>
      </x:c>
      <x:c r="P36" s="69" t="n">
        <x:v>2.754757905146743</x:v>
      </x:c>
      <x:c r="Q36" s="70" t="n">
        <x:f>E36/P36</x:f>
        <x:v>63.52645351268279</x:v>
      </x:c>
      <x:c r="R36" s="70" t="n">
        <x:f>2*Q36</x:f>
        <x:v>127.05290702536558</x:v>
      </x:c>
      <x:c r="S36" s="70" t="n">
        <x:f>Q36*J36</x:f>
        <x:v>32.58907065200627</x:v>
      </x:c>
      <x:c r="T36" s="70" t="n">
        <x:f>2*S36</x:f>
        <x:v>65.17814130401254</x:v>
      </x:c>
      <x:c r="U36" s="70" t="n">
        <x:f>IF(G36=2,Q36*N36,"")</x:f>
        <x:v>19.248515414342886</x:v>
      </x:c>
      <x:c r="V36" s="70" t="n">
        <x:f>IF(U36="","",2*U36)</x:f>
        <x:v>38.49703082868577</x:v>
      </x:c>
      <x:c r="W36" s="70" t="n">
        <x:f>SQRT((Q36^2+S36^2+IF(U36="",0,U36^2))/2)</x:f>
        <x:v>52.2884459872193</x:v>
      </x:c>
      <x:c r="X36" s="71" t="n">
        <x:v>0</x:v>
      </x:c>
      <x:c r="Y36" s="71"/>
      <x:c r="Z36" s="80" t="str">
        <x:v>基波初相位0°；幅值按总Vpp归一化</x:v>
      </x:c>
    </x:row>
    <x:row r="37">
      <x:c r="A37" s="62" t="n">
        <x:v>33</x:v>
      </x:c>
      <x:c r="B37" s="63" t="n">
        <x:v>1</x:v>
      </x:c>
      <x:c r="C37" s="63" t="str">
        <x:v>ua</x:v>
      </x:c>
      <x:c r="D37" s="78" t="str">
        <x:v>典型组合/频率下限</x:v>
      </x:c>
      <x:c r="E37" s="66" t="n">
        <x:v>200</x:v>
      </x:c>
      <x:c r="F37" s="66" t="n">
        <x:v>10</x:v>
      </x:c>
      <x:c r="G37" s="67" t="n">
        <x:v>2</x:v>
      </x:c>
      <x:c r="H37" s="67" t="n">
        <x:v>3</x:v>
      </x:c>
      <x:c r="I37" s="66" t="n">
        <x:f>F37*H37</x:f>
        <x:v>30</x:v>
      </x:c>
      <x:c r="J37" s="68" t="n">
        <x:v>0.738</x:v>
      </x:c>
      <x:c r="K37" s="67" t="n">
        <x:v>90</x:v>
      </x:c>
      <x:c r="L37" s="67" t="n">
        <x:v>5</x:v>
      </x:c>
      <x:c r="M37" s="66" t="n">
        <x:f>IF(L37="","",F37*L37)</x:f>
        <x:v>50</x:v>
      </x:c>
      <x:c r="N37" s="68" t="n">
        <x:v>0.403</x:v>
      </x:c>
      <x:c r="O37" s="67" t="n">
        <x:v>120</x:v>
      </x:c>
      <x:c r="P37" s="69" t="n">
        <x:v>3.442557655633079</x:v>
      </x:c>
      <x:c r="Q37" s="70" t="n">
        <x:f>E37/P37</x:f>
        <x:v>58.096339990918885</x:v>
      </x:c>
      <x:c r="R37" s="70" t="n">
        <x:f>2*Q37</x:f>
        <x:v>116.19267998183777</x:v>
      </x:c>
      <x:c r="S37" s="70" t="n">
        <x:f>Q37*J37</x:f>
        <x:v>42.87509891329814</x:v>
      </x:c>
      <x:c r="T37" s="70" t="n">
        <x:f>2*S37</x:f>
        <x:v>85.75019782659628</x:v>
      </x:c>
      <x:c r="U37" s="70" t="n">
        <x:f>IF(G37=2,Q37*N37,"")</x:f>
        <x:v>23.412825016340314</x:v>
      </x:c>
      <x:c r="V37" s="70" t="n">
        <x:f>IF(U37="","",2*U37)</x:f>
        <x:v>46.82565003268063</x:v>
      </x:c>
      <x:c r="W37" s="70" t="n">
        <x:f>SQRT((Q37^2+S37^2+IF(U37="",0,U37^2))/2)</x:f>
        <x:v>53.673173943839544</x:v>
      </x:c>
      <x:c r="X37" s="71" t="n">
        <x:v>0</x:v>
      </x:c>
      <x:c r="Y37" s="71"/>
      <x:c r="Z37" s="80" t="str">
        <x:v>基波初相位0°；幅值按总Vpp归一化</x:v>
      </x:c>
    </x:row>
    <x:row r="38">
      <x:c r="A38" s="62" t="n">
        <x:v>34</x:v>
      </x:c>
      <x:c r="B38" s="63" t="n">
        <x:v>1</x:v>
      </x:c>
      <x:c r="C38" s="63" t="str">
        <x:v>ua</x:v>
      </x:c>
      <x:c r="D38" s="78" t="str">
        <x:v>典型组合</x:v>
      </x:c>
      <x:c r="E38" s="66" t="n">
        <x:v>225</x:v>
      </x:c>
      <x:c r="F38" s="66" t="n">
        <x:v>16</x:v>
      </x:c>
      <x:c r="G38" s="67" t="n">
        <x:v>2</x:v>
      </x:c>
      <x:c r="H38" s="67" t="n">
        <x:v>4</x:v>
      </x:c>
      <x:c r="I38" s="66" t="n">
        <x:f>F38*H38</x:f>
        <x:v>64</x:v>
      </x:c>
      <x:c r="J38" s="68" t="n">
        <x:v>1.014</x:v>
      </x:c>
      <x:c r="K38" s="67" t="n">
        <x:v>135</x:v>
      </x:c>
      <x:c r="L38" s="67" t="n">
        <x:v>5</x:v>
      </x:c>
      <x:c r="M38" s="66" t="n">
        <x:f>IF(L38="","",F38*L38)</x:f>
        <x:v>80</x:v>
      </x:c>
      <x:c r="N38" s="68" t="n">
        <x:v>0.502</x:v>
      </x:c>
      <x:c r="O38" s="67" t="n">
        <x:v>180</x:v>
      </x:c>
      <x:c r="P38" s="69" t="n">
        <x:v>4.196566710644184</x:v>
      </x:c>
      <x:c r="Q38" s="70" t="n">
        <x:f>E38/P38</x:f>
        <x:v>53.61525635451221</x:v>
      </x:c>
      <x:c r="R38" s="70" t="n">
        <x:f>2*Q38</x:f>
        <x:v>107.23051270902442</x:v>
      </x:c>
      <x:c r="S38" s="70" t="n">
        <x:f>Q38*J38</x:f>
        <x:v>54.36586994347538</x:v>
      </x:c>
      <x:c r="T38" s="70" t="n">
        <x:f>2*S38</x:f>
        <x:v>108.73173988695076</x:v>
      </x:c>
      <x:c r="U38" s="70" t="n">
        <x:f>IF(G38=2,Q38*N38,"")</x:f>
        <x:v>26.91485868996513</x:v>
      </x:c>
      <x:c r="V38" s="70" t="n">
        <x:f>IF(U38="","",2*U38)</x:f>
        <x:v>53.82971737993026</x:v>
      </x:c>
      <x:c r="W38" s="70" t="n">
        <x:f>SQRT((Q38^2+S38^2+IF(U38="",0,U38^2))/2)</x:f>
        <x:v>57.24793946934568</x:v>
      </x:c>
      <x:c r="X38" s="71" t="n">
        <x:v>0</x:v>
      </x:c>
      <x:c r="Y38" s="71"/>
      <x:c r="Z38" s="80" t="str">
        <x:v>基波初相位0°；幅值按总Vpp归一化</x:v>
      </x:c>
    </x:row>
    <x:row r="39">
      <x:c r="A39" s="62" t="n">
        <x:v>35</x:v>
      </x:c>
      <x:c r="B39" s="63" t="n">
        <x:v>2</x:v>
      </x:c>
      <x:c r="C39" s="63" t="str">
        <x:v>ub</x:v>
      </x:c>
      <x:c r="D39" s="78" t="str">
        <x:v>幅值/频率下限</x:v>
      </x:c>
      <x:c r="E39" s="66" t="n">
        <x:v>50</x:v>
      </x:c>
      <x:c r="F39" s="66" t="n">
        <x:v>10</x:v>
      </x:c>
      <x:c r="G39" s="67" t="n">
        <x:v>1</x:v>
      </x:c>
      <x:c r="H39" s="67" t="n">
        <x:v>2</x:v>
      </x:c>
      <x:c r="I39" s="66" t="n">
        <x:f>F39*H39</x:f>
        <x:v>20</x:v>
      </x:c>
      <x:c r="J39" s="68" t="n">
        <x:v>0.5</x:v>
      </x:c>
      <x:c r="K39" s="67" t="n">
        <x:v>0</x:v>
      </x:c>
      <x:c r="L39" s="67"/>
      <x:c r="M39" s="66" t="str">
        <x:f>IF(L39="","",F39*L39)</x:f>
      </x:c>
      <x:c r="N39" s="68"/>
      <x:c r="O39" s="67"/>
      <x:c r="P39" s="69" t="n">
        <x:v>2.5980762086998923</x:v>
      </x:c>
      <x:c r="Q39" s="70" t="n">
        <x:f>E39/P39</x:f>
        <x:v>19.245008992642514</x:v>
      </x:c>
      <x:c r="R39" s="70" t="n">
        <x:f>2*Q39</x:f>
        <x:v>38.49001798528503</x:v>
      </x:c>
      <x:c r="S39" s="70" t="n">
        <x:f>Q39*J39</x:f>
        <x:v>9.622504496321257</x:v>
      </x:c>
      <x:c r="T39" s="70" t="n">
        <x:f>2*S39</x:f>
        <x:v>19.245008992642514</x:v>
      </x:c>
      <x:c r="U39" s="70" t="str">
        <x:f>IF(G39=2,Q39*N39,"")</x:f>
      </x:c>
      <x:c r="V39" s="70" t="str">
        <x:f>IF(U39="","",2*U39)</x:f>
      </x:c>
      <x:c r="W39" s="70" t="n">
        <x:f>SQRT((Q39^2+S39^2+IF(U39="",0,U39^2))/2)</x:f>
        <x:v>15.214515501793247</x:v>
      </x:c>
      <x:c r="X39" s="71" t="n">
        <x:v>0</x:v>
      </x:c>
      <x:c r="Y39" s="71"/>
      <x:c r="Z39" s="80" t="str">
        <x:v>基波初相位0°；幅值按总Vpp归一化</x:v>
      </x:c>
    </x:row>
    <x:row r="40">
      <x:c r="A40" s="62" t="n">
        <x:v>36</x:v>
      </x:c>
      <x:c r="B40" s="63" t="n">
        <x:v>2</x:v>
      </x:c>
      <x:c r="C40" s="63" t="str">
        <x:v>ub</x:v>
      </x:c>
      <x:c r="D40" s="78" t="str">
        <x:v>幅值/500kHz上限</x:v>
      </x:c>
      <x:c r="E40" s="66" t="n">
        <x:v>250</x:v>
      </x:c>
      <x:c r="F40" s="66" t="n">
        <x:v>250</x:v>
      </x:c>
      <x:c r="G40" s="67" t="n">
        <x:v>1</x:v>
      </x:c>
      <x:c r="H40" s="67" t="n">
        <x:v>2</x:v>
      </x:c>
      <x:c r="I40" s="66" t="n">
        <x:f>F40*H40</x:f>
        <x:v>500</x:v>
      </x:c>
      <x:c r="J40" s="68" t="n">
        <x:v>0.4</x:v>
      </x:c>
      <x:c r="K40" s="67" t="n">
        <x:v>0</x:v>
      </x:c>
      <x:c r="L40" s="67"/>
      <x:c r="M40" s="66" t="str">
        <x:f>IF(L40="","",F40*L40)</x:f>
      </x:c>
      <x:c r="N40" s="68"/>
      <x:c r="O40" s="67"/>
      <x:c r="P40" s="69" t="n">
        <x:v>2.4293470918219517</x:v>
      </x:c>
      <x:c r="Q40" s="70" t="n">
        <x:f>E40/P40</x:f>
        <x:v>102.90830850873023</x:v>
      </x:c>
      <x:c r="R40" s="70" t="n">
        <x:f>2*Q40</x:f>
        <x:v>205.81661701746046</x:v>
      </x:c>
      <x:c r="S40" s="70" t="n">
        <x:f>Q40*J40</x:f>
        <x:v>41.16332340349209</x:v>
      </x:c>
      <x:c r="T40" s="70" t="n">
        <x:f>2*S40</x:f>
        <x:v>82.32664680698419</x:v>
      </x:c>
      <x:c r="U40" s="70" t="str">
        <x:f>IF(G40=2,Q40*N40,"")</x:f>
      </x:c>
      <x:c r="V40" s="70" t="str">
        <x:f>IF(U40="","",2*U40)</x:f>
      </x:c>
      <x:c r="W40" s="70" t="n">
        <x:f>SQRT((Q40^2+S40^2+IF(U40="",0,U40^2))/2)</x:f>
        <x:v>78.37263283107337</x:v>
      </x:c>
      <x:c r="X40" s="71" t="n">
        <x:v>0</x:v>
      </x:c>
      <x:c r="Y40" s="71"/>
      <x:c r="Z40" s="80" t="str">
        <x:v>基波初相位0°；幅值按总Vpp归一化</x:v>
      </x:c>
    </x:row>
    <x:row r="41">
      <x:c r="A41" s="62" t="n">
        <x:v>37</x:v>
      </x:c>
      <x:c r="B41" s="63" t="n">
        <x:v>2</x:v>
      </x:c>
      <x:c r="C41" s="63" t="str">
        <x:v>ub</x:v>
      </x:c>
      <x:c r="D41" s="78" t="str">
        <x:v>500kHz频率上限</x:v>
      </x:c>
      <x:c r="E41" s="66" t="n">
        <x:v>150</x:v>
      </x:c>
      <x:c r="F41" s="66" t="n">
        <x:v>125</x:v>
      </x:c>
      <x:c r="G41" s="67" t="n">
        <x:v>2</x:v>
      </x:c>
      <x:c r="H41" s="67" t="n">
        <x:v>3</x:v>
      </x:c>
      <x:c r="I41" s="66" t="n">
        <x:f>F41*H41</x:f>
        <x:v>375</x:v>
      </x:c>
      <x:c r="J41" s="68" t="n">
        <x:v>0.4</x:v>
      </x:c>
      <x:c r="K41" s="67" t="n">
        <x:v>0</x:v>
      </x:c>
      <x:c r="L41" s="67" t="n">
        <x:v>4</x:v>
      </x:c>
      <x:c r="M41" s="66" t="n">
        <x:f>IF(L41="","",F41*L41)</x:f>
        <x:v>500</x:v>
      </x:c>
      <x:c r="N41" s="68" t="n">
        <x:v>0.2</x:v>
      </x:c>
      <x:c r="O41" s="67" t="n">
        <x:v>0</x:v>
      </x:c>
      <x:c r="P41" s="69" t="n">
        <x:v>2.178769863102402</x:v>
      </x:c>
      <x:c r="Q41" s="70" t="n">
        <x:f>E41/P41</x:f>
        <x:v>68.84618818180799</x:v>
      </x:c>
      <x:c r="R41" s="70" t="n">
        <x:f>2*Q41</x:f>
        <x:v>137.69237636361598</x:v>
      </x:c>
      <x:c r="S41" s="70" t="n">
        <x:f>Q41*J41</x:f>
        <x:v>27.538475272723197</x:v>
      </x:c>
      <x:c r="T41" s="70" t="n">
        <x:f>2*S41</x:f>
        <x:v>55.076950545446394</x:v>
      </x:c>
      <x:c r="U41" s="70" t="n">
        <x:f>IF(G41=2,Q41*N41,"")</x:f>
        <x:v>13.769237636361598</x:v>
      </x:c>
      <x:c r="V41" s="70" t="n">
        <x:f>IF(U41="","",2*U41)</x:f>
        <x:v>27.538475272723197</x:v>
      </x:c>
      <x:c r="W41" s="70" t="n">
        <x:f>SQRT((Q41^2+S41^2+IF(U41="",0,U41^2))/2)</x:f>
        <x:v>53.32802805560084</x:v>
      </x:c>
      <x:c r="X41" s="71" t="n">
        <x:v>0</x:v>
      </x:c>
      <x:c r="Y41" s="71"/>
      <x:c r="Z41" s="80" t="str">
        <x:v>基波初相位0°；幅值按总Vpp归一化</x:v>
      </x:c>
    </x:row>
    <x:row r="42">
      <x:c r="A42" s="62" t="n">
        <x:v>38</x:v>
      </x:c>
      <x:c r="B42" s="63" t="n">
        <x:v>2</x:v>
      </x:c>
      <x:c r="C42" s="63" t="str">
        <x:v>ub</x:v>
      </x:c>
      <x:c r="D42" s="78" t="str">
        <x:v>高次谐波/500kHz</x:v>
      </x:c>
      <x:c r="E42" s="66" t="n">
        <x:v>100</x:v>
      </x:c>
      <x:c r="F42" s="66" t="n">
        <x:v>100</x:v>
      </x:c>
      <x:c r="G42" s="67" t="n">
        <x:v>2</x:v>
      </x:c>
      <x:c r="H42" s="67" t="n">
        <x:v>4</x:v>
      </x:c>
      <x:c r="I42" s="66" t="n">
        <x:f>F42*H42</x:f>
        <x:v>400</x:v>
      </x:c>
      <x:c r="J42" s="68" t="n">
        <x:v>0.5</x:v>
      </x:c>
      <x:c r="K42" s="67" t="n">
        <x:v>90</x:v>
      </x:c>
      <x:c r="L42" s="67" t="n">
        <x:v>5</x:v>
      </x:c>
      <x:c r="M42" s="66" t="n">
        <x:f>IF(L42="","",F42*L42)</x:f>
        <x:v>500</x:v>
      </x:c>
      <x:c r="N42" s="68" t="n">
        <x:v>0.25</x:v>
      </x:c>
      <x:c r="O42" s="67" t="n">
        <x:v>180</x:v>
      </x:c>
      <x:c r="P42" s="69" t="n">
        <x:v>2.7260886376306903</x:v>
      </x:c>
      <x:c r="Q42" s="70" t="n">
        <x:f>E42/P42</x:f>
        <x:v>36.68259300875573</x:v>
      </x:c>
      <x:c r="R42" s="70" t="n">
        <x:f>2*Q42</x:f>
        <x:v>73.36518601751146</x:v>
      </x:c>
      <x:c r="S42" s="70" t="n">
        <x:f>Q42*J42</x:f>
        <x:v>18.341296504377866</x:v>
      </x:c>
      <x:c r="T42" s="70" t="n">
        <x:f>2*S42</x:f>
        <x:v>36.68259300875573</x:v>
      </x:c>
      <x:c r="U42" s="70" t="n">
        <x:f>IF(G42=2,Q42*N42,"")</x:f>
        <x:v>9.170648252188933</x:v>
      </x:c>
      <x:c r="V42" s="70" t="n">
        <x:f>IF(U42="","",2*U42)</x:f>
        <x:v>18.341296504377866</x:v>
      </x:c>
      <x:c r="W42" s="70" t="n">
        <x:f>SQRT((Q42^2+S42^2+IF(U42="",0,U42^2))/2)</x:f>
        <x:v>29.716296679371865</x:v>
      </x:c>
      <x:c r="X42" s="71" t="n">
        <x:v>0</x:v>
      </x:c>
      <x:c r="Y42" s="71"/>
      <x:c r="Z42" s="80" t="str">
        <x:v>基波初相位0°；幅值按总Vpp归一化</x:v>
      </x:c>
    </x:row>
    <x:row r="43">
      <x:c r="A43" s="62" t="n">
        <x:v>39</x:v>
      </x:c>
      <x:c r="B43" s="63" t="n">
        <x:v>2</x:v>
      </x:c>
      <x:c r="C43" s="63" t="str">
        <x:v>ub</x:v>
      </x:c>
      <x:c r="D43" s="78" t="str">
        <x:v>典型组合/弱谐波</x:v>
      </x:c>
      <x:c r="E43" s="66" t="n">
        <x:v>125</x:v>
      </x:c>
      <x:c r="F43" s="66" t="n">
        <x:v>68.5</x:v>
      </x:c>
      <x:c r="G43" s="67" t="n">
        <x:v>2</x:v>
      </x:c>
      <x:c r="H43" s="67" t="n">
        <x:v>4</x:v>
      </x:c>
      <x:c r="I43" s="66" t="n">
        <x:f>F43*H43</x:f>
        <x:v>274</x:v>
      </x:c>
      <x:c r="J43" s="68" t="n">
        <x:v>0.405</x:v>
      </x:c>
      <x:c r="K43" s="67" t="n">
        <x:v>180</x:v>
      </x:c>
      <x:c r="L43" s="67" t="n">
        <x:v>5</x:v>
      </x:c>
      <x:c r="M43" s="66" t="n">
        <x:f>IF(L43="","",F43*L43)</x:f>
        <x:v>342.5</x:v>
      </x:c>
      <x:c r="N43" s="68" t="n">
        <x:v>0.188</x:v>
      </x:c>
      <x:c r="O43" s="67" t="n">
        <x:v>0</x:v>
      </x:c>
      <x:c r="P43" s="69" t="n">
        <x:v>2.7467152859704074</x:v>
      </x:c>
      <x:c r="Q43" s="70" t="n">
        <x:f>E43/P43</x:f>
        <x:v>45.50890317553893</x:v>
      </x:c>
      <x:c r="R43" s="70" t="n">
        <x:f>2*Q43</x:f>
        <x:v>91.01780635107787</x:v>
      </x:c>
      <x:c r="S43" s="70" t="n">
        <x:f>Q43*J43</x:f>
        <x:v>18.43110578609327</x:v>
      </x:c>
      <x:c r="T43" s="70" t="n">
        <x:f>2*S43</x:f>
        <x:v>36.86221157218654</x:v>
      </x:c>
      <x:c r="U43" s="70" t="n">
        <x:f>IF(G43=2,Q43*N43,"")</x:f>
        <x:v>8.555673797001319</x:v>
      </x:c>
      <x:c r="V43" s="70" t="n">
        <x:f>IF(U43="","",2*U43)</x:f>
        <x:v>17.111347594002638</x:v>
      </x:c>
      <x:c r="W43" s="70" t="n">
        <x:f>SQRT((Q43^2+S43^2+IF(U43="",0,U43^2))/2)</x:f>
        <x:v>35.24177551471714</x:v>
      </x:c>
      <x:c r="X43" s="71" t="n">
        <x:v>0</x:v>
      </x:c>
      <x:c r="Y43" s="71"/>
      <x:c r="Z43" s="80" t="str">
        <x:v>基波初相位0°；幅值按总Vpp归一化</x:v>
      </x:c>
    </x:row>
    <x:row r="44">
      <x:c r="A44" s="62" t="n">
        <x:v>40</x:v>
      </x:c>
      <x:c r="B44" s="63" t="n">
        <x:v>2</x:v>
      </x:c>
      <x:c r="C44" s="63" t="str">
        <x:v>ub</x:v>
      </x:c>
      <x:c r="D44" s="78" t="str">
        <x:v>典型组合</x:v>
      </x:c>
      <x:c r="E44" s="66" t="n">
        <x:v>150</x:v>
      </x:c>
      <x:c r="F44" s="66" t="n">
        <x:v>202</x:v>
      </x:c>
      <x:c r="G44" s="67" t="n">
        <x:v>1</x:v>
      </x:c>
      <x:c r="H44" s="67" t="n">
        <x:v>2</x:v>
      </x:c>
      <x:c r="I44" s="66" t="n">
        <x:f>F44*H44</x:f>
        <x:v>404</x:v>
      </x:c>
      <x:c r="J44" s="68" t="n">
        <x:v>0.596</x:v>
      </x:c>
      <x:c r="K44" s="67" t="n">
        <x:v>270</x:v>
      </x:c>
      <x:c r="L44" s="67"/>
      <x:c r="M44" s="66" t="str">
        <x:f>IF(L44="","",F44*L44)</x:f>
      </x:c>
      <x:c r="N44" s="68"/>
      <x:c r="O44" s="67"/>
      <x:c r="P44" s="69" t="n">
        <x:v>2.4017315433591264</x:v>
      </x:c>
      <x:c r="Q44" s="70" t="n">
        <x:f>E44/P44</x:f>
        <x:v>62.45494023458007</x:v>
      </x:c>
      <x:c r="R44" s="70" t="n">
        <x:f>2*Q44</x:f>
        <x:v>124.90988046916014</x:v>
      </x:c>
      <x:c r="S44" s="70" t="n">
        <x:f>Q44*J44</x:f>
        <x:v>37.22314437980972</x:v>
      </x:c>
      <x:c r="T44" s="70" t="n">
        <x:f>2*S44</x:f>
        <x:v>74.44628875961943</x:v>
      </x:c>
      <x:c r="U44" s="70" t="str">
        <x:f>IF(G44=2,Q44*N44,"")</x:f>
      </x:c>
      <x:c r="V44" s="70" t="str">
        <x:f>IF(U44="","",2*U44)</x:f>
      </x:c>
      <x:c r="W44" s="70" t="n">
        <x:f>SQRT((Q44^2+S44^2+IF(U44="",0,U44^2))/2)</x:f>
        <x:v>51.41100094933539</x:v>
      </x:c>
      <x:c r="X44" s="71" t="n">
        <x:v>0</x:v>
      </x:c>
      <x:c r="Y44" s="71"/>
      <x:c r="Z44" s="80" t="str">
        <x:v>基波初相位0°；幅值按总Vpp归一化</x:v>
      </x:c>
    </x:row>
    <x:row r="45">
      <x:c r="A45" s="62" t="n">
        <x:v>41</x:v>
      </x:c>
      <x:c r="B45" s="63" t="n">
        <x:v>2</x:v>
      </x:c>
      <x:c r="C45" s="63" t="str">
        <x:v>ub</x:v>
      </x:c>
      <x:c r="D45" s="78" t="str">
        <x:v>典型组合</x:v>
      </x:c>
      <x:c r="E45" s="66" t="n">
        <x:v>175</x:v>
      </x:c>
      <x:c r="F45" s="66" t="n">
        <x:v>159</x:v>
      </x:c>
      <x:c r="G45" s="67" t="n">
        <x:v>1</x:v>
      </x:c>
      <x:c r="H45" s="67" t="n">
        <x:v>3</x:v>
      </x:c>
      <x:c r="I45" s="66" t="n">
        <x:f>F45*H45</x:f>
        <x:v>477</x:v>
      </x:c>
      <x:c r="J45" s="68" t="n">
        <x:v>0.812</x:v>
      </x:c>
      <x:c r="K45" s="67" t="n">
        <x:v>0</x:v>
      </x:c>
      <x:c r="L45" s="67"/>
      <x:c r="M45" s="66" t="str">
        <x:f>IF(L45="","",F45*L45)</x:f>
      </x:c>
      <x:c r="N45" s="68"/>
      <x:c r="O45" s="67"/>
      <x:c r="P45" s="69" t="n">
        <x:v>2.720506892348946</x:v>
      </x:c>
      <x:c r="Q45" s="70" t="n">
        <x:f>E45/P45</x:f>
        <x:v>64.32624761663482</x:v>
      </x:c>
      <x:c r="R45" s="70" t="n">
        <x:f>2*Q45</x:f>
        <x:v>128.65249523326963</x:v>
      </x:c>
      <x:c r="S45" s="70" t="n">
        <x:f>Q45*J45</x:f>
        <x:v>52.232913064707475</x:v>
      </x:c>
      <x:c r="T45" s="70" t="n">
        <x:f>2*S45</x:f>
        <x:v>104.46582612941495</x:v>
      </x:c>
      <x:c r="U45" s="70" t="str">
        <x:f>IF(G45=2,Q45*N45,"")</x:f>
      </x:c>
      <x:c r="V45" s="70" t="str">
        <x:f>IF(U45="","",2*U45)</x:f>
      </x:c>
      <x:c r="W45" s="70" t="n">
        <x:f>SQRT((Q45^2+S45^2+IF(U45="",0,U45^2))/2)</x:f>
        <x:v>58.59241990079393</x:v>
      </x:c>
      <x:c r="X45" s="71" t="n">
        <x:v>0</x:v>
      </x:c>
      <x:c r="Y45" s="71"/>
      <x:c r="Z45" s="80" t="str">
        <x:v>基波初相位0°；幅值按总Vpp归一化</x:v>
      </x:c>
    </x:row>
    <x:row r="46">
      <x:c r="A46" s="62" t="n">
        <x:v>42</x:v>
      </x:c>
      <x:c r="B46" s="63" t="n">
        <x:v>2</x:v>
      </x:c>
      <x:c r="C46" s="63" t="str">
        <x:v>ub</x:v>
      </x:c>
      <x:c r="D46" s="78" t="str">
        <x:v>典型组合/频率上限</x:v>
      </x:c>
      <x:c r="E46" s="66" t="n">
        <x:v>200</x:v>
      </x:c>
      <x:c r="F46" s="66" t="n">
        <x:v>125</x:v>
      </x:c>
      <x:c r="G46" s="67" t="n">
        <x:v>1</x:v>
      </x:c>
      <x:c r="H46" s="67" t="n">
        <x:v>4</x:v>
      </x:c>
      <x:c r="I46" s="66" t="n">
        <x:f>F46*H46</x:f>
        <x:v>500</x:v>
      </x:c>
      <x:c r="J46" s="68" t="n">
        <x:v>0.99</x:v>
      </x:c>
      <x:c r="K46" s="67" t="n">
        <x:v>45</x:v>
      </x:c>
      <x:c r="L46" s="67"/>
      <x:c r="M46" s="66" t="str">
        <x:f>IF(L46="","",F46*L46)</x:f>
      </x:c>
      <x:c r="N46" s="68"/>
      <x:c r="O46" s="67"/>
      <x:c r="P46" s="69" t="n">
        <x:v>3.8026531286648444</x:v>
      </x:c>
      <x:c r="Q46" s="70" t="n">
        <x:f>E46/P46</x:f>
        <x:v>52.59485765145829</x:v>
      </x:c>
      <x:c r="R46" s="70" t="n">
        <x:f>2*Q46</x:f>
        <x:v>105.18971530291658</x:v>
      </x:c>
      <x:c r="S46" s="70" t="n">
        <x:f>Q46*J46</x:f>
        <x:v>52.068909074943704</x:v>
      </x:c>
      <x:c r="T46" s="70" t="n">
        <x:f>2*S46</x:f>
        <x:v>104.13781814988741</x:v>
      </x:c>
      <x:c r="U46" s="70" t="str">
        <x:f>IF(G46=2,Q46*N46,"")</x:f>
      </x:c>
      <x:c r="V46" s="70" t="str">
        <x:f>IF(U46="","",2*U46)</x:f>
      </x:c>
      <x:c r="W46" s="70" t="n">
        <x:f>SQRT((Q46^2+S46^2+IF(U46="",0,U46^2))/2)</x:f>
        <x:v>52.332544098447556</x:v>
      </x:c>
      <x:c r="X46" s="71" t="n">
        <x:v>0</x:v>
      </x:c>
      <x:c r="Y46" s="71"/>
      <x:c r="Z46" s="80" t="str">
        <x:v>基波初相位0°；幅值按总Vpp归一化</x:v>
      </x:c>
    </x:row>
    <x:row r="47">
      <x:c r="A47" s="62" t="n">
        <x:v>43</x:v>
      </x:c>
      <x:c r="B47" s="63" t="n">
        <x:v>2</x:v>
      </x:c>
      <x:c r="C47" s="63" t="str">
        <x:v>ub</x:v>
      </x:c>
      <x:c r="D47" s="78" t="str">
        <x:v>典型组合/频率下限</x:v>
      </x:c>
      <x:c r="E47" s="66" t="n">
        <x:v>225</x:v>
      </x:c>
      <x:c r="F47" s="66" t="n">
        <x:v>10</x:v>
      </x:c>
      <x:c r="G47" s="67" t="n">
        <x:v>1</x:v>
      </x:c>
      <x:c r="H47" s="67" t="n">
        <x:v>5</x:v>
      </x:c>
      <x:c r="I47" s="66" t="n">
        <x:f>F47*H47</x:f>
        <x:v>50</x:v>
      </x:c>
      <x:c r="J47" s="68" t="n">
        <x:v>0.263</x:v>
      </x:c>
      <x:c r="K47" s="67" t="n">
        <x:v>90</x:v>
      </x:c>
      <x:c r="L47" s="67"/>
      <x:c r="M47" s="66" t="str">
        <x:f>IF(L47="","",F47*L47)</x:f>
      </x:c>
      <x:c r="N47" s="68"/>
      <x:c r="O47" s="67"/>
      <x:c r="P47" s="69" t="n">
        <x:v>2.4408334870554125</x:v>
      </x:c>
      <x:c r="Q47" s="70" t="n">
        <x:f>E47/P47</x:f>
        <x:v>92.18162615076085</x:v>
      </x:c>
      <x:c r="R47" s="70" t="n">
        <x:f>2*Q47</x:f>
        <x:v>184.3632523015217</x:v>
      </x:c>
      <x:c r="S47" s="70" t="n">
        <x:f>Q47*J47</x:f>
        <x:v>24.243767677650105</x:v>
      </x:c>
      <x:c r="T47" s="70" t="n">
        <x:f>2*S47</x:f>
        <x:v>48.48753535530021</x:v>
      </x:c>
      <x:c r="U47" s="70" t="str">
        <x:f>IF(G47=2,Q47*N47,"")</x:f>
      </x:c>
      <x:c r="V47" s="70" t="str">
        <x:f>IF(U47="","",2*U47)</x:f>
      </x:c>
      <x:c r="W47" s="70" t="n">
        <x:f>SQRT((Q47^2+S47^2+IF(U47="",0,U47^2))/2)</x:f>
        <x:v>67.39885930416963</x:v>
      </x:c>
      <x:c r="X47" s="71" t="n">
        <x:v>0</x:v>
      </x:c>
      <x:c r="Y47" s="71"/>
      <x:c r="Z47" s="80" t="str">
        <x:v>基波初相位0°；幅值按总Vpp归一化</x:v>
      </x:c>
    </x:row>
    <x:row r="48">
      <x:c r="A48" s="62" t="n">
        <x:v>44</x:v>
      </x:c>
      <x:c r="B48" s="63" t="n">
        <x:v>2</x:v>
      </x:c>
      <x:c r="C48" s="63" t="str">
        <x:v>ub</x:v>
      </x:c>
      <x:c r="D48" s="78" t="str">
        <x:v>典型组合/弱谐波</x:v>
      </x:c>
      <x:c r="E48" s="66" t="n">
        <x:v>240</x:v>
      </x:c>
      <x:c r="F48" s="66" t="n">
        <x:v>41.5</x:v>
      </x:c>
      <x:c r="G48" s="67" t="n">
        <x:v>2</x:v>
      </x:c>
      <x:c r="H48" s="67" t="n">
        <x:v>2</x:v>
      </x:c>
      <x:c r="I48" s="66" t="n">
        <x:f>F48*H48</x:f>
        <x:v>83</x:v>
      </x:c>
      <x:c r="J48" s="68" t="n">
        <x:v>0.398</x:v>
      </x:c>
      <x:c r="K48" s="67" t="n">
        <x:v>135</x:v>
      </x:c>
      <x:c r="L48" s="67" t="n">
        <x:v>3</x:v>
      </x:c>
      <x:c r="M48" s="66" t="n">
        <x:f>IF(L48="","",F48*L48)</x:f>
        <x:v>124.5</x:v>
      </x:c>
      <x:c r="N48" s="68" t="n">
        <x:v>0.212</x:v>
      </x:c>
      <x:c r="O48" s="67" t="n">
        <x:v>240</x:v>
      </x:c>
      <x:c r="P48" s="69" t="n">
        <x:v>2.3812341202635516</x:v>
      </x:c>
      <x:c r="Q48" s="70" t="n">
        <x:f>E48/P48</x:f>
        <x:v>100.78807369576795</x:v>
      </x:c>
      <x:c r="R48" s="70" t="n">
        <x:f>2*Q48</x:f>
        <x:v>201.5761473915359</x:v>
      </x:c>
      <x:c r="S48" s="70" t="n">
        <x:f>Q48*J48</x:f>
        <x:v>40.113653330915646</x:v>
      </x:c>
      <x:c r="T48" s="70" t="n">
        <x:f>2*S48</x:f>
        <x:v>80.22730666183129</x:v>
      </x:c>
      <x:c r="U48" s="70" t="n">
        <x:f>IF(G48=2,Q48*N48,"")</x:f>
        <x:v>21.367071623502806</x:v>
      </x:c>
      <x:c r="V48" s="70" t="n">
        <x:f>IF(U48="","",2*U48)</x:f>
        <x:v>42.73414324700561</x:v>
      </x:c>
      <x:c r="W48" s="70" t="n">
        <x:f>SQRT((Q48^2+S48^2+IF(U48="",0,U48^2))/2)</x:f>
        <x:v>78.17893812472875</x:v>
      </x:c>
      <x:c r="X48" s="71" t="n">
        <x:v>0</x:v>
      </x:c>
      <x:c r="Y48" s="71"/>
      <x:c r="Z48" s="80" t="str">
        <x:v>基波初相位0°；幅值按总Vpp归一化</x:v>
      </x:c>
    </x:row>
    <x:row r="49">
      <x:c r="A49" s="62" t="n">
        <x:v>45</x:v>
      </x:c>
      <x:c r="B49" s="63" t="n">
        <x:v>2</x:v>
      </x:c>
      <x:c r="C49" s="63" t="str">
        <x:v>ub</x:v>
      </x:c>
      <x:c r="D49" s="78" t="str">
        <x:v>幅值边界</x:v>
      </x:c>
      <x:c r="E49" s="66" t="n">
        <x:v>250</x:v>
      </x:c>
      <x:c r="F49" s="66" t="n">
        <x:v>50.5</x:v>
      </x:c>
      <x:c r="G49" s="67" t="n">
        <x:v>2</x:v>
      </x:c>
      <x:c r="H49" s="67" t="n">
        <x:v>2</x:v>
      </x:c>
      <x:c r="I49" s="66" t="n">
        <x:f>F49*H49</x:f>
        <x:v>101</x:v>
      </x:c>
      <x:c r="J49" s="68" t="n">
        <x:v>0.508</x:v>
      </x:c>
      <x:c r="K49" s="67" t="n">
        <x:v>180</x:v>
      </x:c>
      <x:c r="L49" s="67" t="n">
        <x:v>4</x:v>
      </x:c>
      <x:c r="M49" s="66" t="n">
        <x:f>IF(L49="","",F49*L49)</x:f>
        <x:v>202</x:v>
      </x:c>
      <x:c r="N49" s="68" t="n">
        <x:v>0.284</x:v>
      </x:c>
      <x:c r="O49" s="67" t="n">
        <x:v>0</x:v>
      </x:c>
      <x:c r="P49" s="69" t="n">
        <x:v>3.1504463441654496</x:v>
      </x:c>
      <x:c r="Q49" s="70" t="n">
        <x:f>E49/P49</x:f>
        <x:v>79.35383519957226</x:v>
      </x:c>
      <x:c r="R49" s="70" t="n">
        <x:f>2*Q49</x:f>
        <x:v>158.70767039914452</x:v>
      </x:c>
      <x:c r="S49" s="70" t="n">
        <x:f>Q49*J49</x:f>
        <x:v>40.311748281382705</x:v>
      </x:c>
      <x:c r="T49" s="70" t="n">
        <x:f>2*S49</x:f>
        <x:v>80.62349656276541</x:v>
      </x:c>
      <x:c r="U49" s="70" t="n">
        <x:f>IF(G49=2,Q49*N49,"")</x:f>
        <x:v>22.53648919667852</x:v>
      </x:c>
      <x:c r="V49" s="70" t="n">
        <x:f>IF(U49="","",2*U49)</x:f>
        <x:v>45.07297839335704</x:v>
      </x:c>
      <x:c r="W49" s="70" t="n">
        <x:f>SQRT((Q49^2+S49^2+IF(U49="",0,U49^2))/2)</x:f>
        <x:v>64.92288331433856</x:v>
      </x:c>
      <x:c r="X49" s="71" t="n">
        <x:v>0</x:v>
      </x:c>
      <x:c r="Y49" s="71"/>
      <x:c r="Z49" s="80" t="str">
        <x:v>基波初相位0°；幅值按总Vpp归一化</x:v>
      </x:c>
    </x:row>
    <x:row r="50">
      <x:c r="A50" s="62" t="n">
        <x:v>46</x:v>
      </x:c>
      <x:c r="B50" s="63" t="n">
        <x:v>2</x:v>
      </x:c>
      <x:c r="C50" s="63" t="str">
        <x:v>ub</x:v>
      </x:c>
      <x:c r="D50" s="78" t="str">
        <x:v>幅值边界</x:v>
      </x:c>
      <x:c r="E50" s="66" t="n">
        <x:v>50</x:v>
      </x:c>
      <x:c r="F50" s="66" t="n">
        <x:v>67.5</x:v>
      </x:c>
      <x:c r="G50" s="67" t="n">
        <x:v>2</x:v>
      </x:c>
      <x:c r="H50" s="67" t="n">
        <x:v>3</x:v>
      </x:c>
      <x:c r="I50" s="66" t="n">
        <x:f>F50*H50</x:f>
        <x:v>202.5</x:v>
      </x:c>
      <x:c r="J50" s="68" t="n">
        <x:v>0.761</x:v>
      </x:c>
      <x:c r="K50" s="67" t="n">
        <x:v>270</x:v>
      </x:c>
      <x:c r="L50" s="67" t="n">
        <x:v>4</x:v>
      </x:c>
      <x:c r="M50" s="66" t="n">
        <x:f>IF(L50="","",F50*L50)</x:f>
        <x:v>270</x:v>
      </x:c>
      <x:c r="N50" s="68" t="n">
        <x:v>0.404</x:v>
      </x:c>
      <x:c r="O50" s="67" t="n">
        <x:v>30</x:v>
      </x:c>
      <x:c r="P50" s="69" t="n">
        <x:v>3.3422513871106605</x:v>
      </x:c>
      <x:c r="Q50" s="70" t="n">
        <x:f>E50/P50</x:f>
        <x:v>14.959975839287317</x:v>
      </x:c>
      <x:c r="R50" s="70" t="n">
        <x:f>2*Q50</x:f>
        <x:v>29.919951678574634</x:v>
      </x:c>
      <x:c r="S50" s="70" t="n">
        <x:f>Q50*J50</x:f>
        <x:v>11.384541613697648</x:v>
      </x:c>
      <x:c r="T50" s="70" t="n">
        <x:f>2*S50</x:f>
        <x:v>22.769083227395296</x:v>
      </x:c>
      <x:c r="U50" s="70" t="n">
        <x:f>IF(G50=2,Q50*N50,"")</x:f>
        <x:v>6.043830239072077</x:v>
      </x:c>
      <x:c r="V50" s="70" t="n">
        <x:f>IF(U50="","",2*U50)</x:f>
        <x:v>12.087660478144153</x:v>
      </x:c>
      <x:c r="W50" s="70" t="n">
        <x:f>SQRT((Q50^2+S50^2+IF(U50="",0,U50^2))/2)</x:f>
        <x:v>13.963104039302932</x:v>
      </x:c>
      <x:c r="X50" s="71" t="n">
        <x:v>0</x:v>
      </x:c>
      <x:c r="Y50" s="71"/>
      <x:c r="Z50" s="80" t="str">
        <x:v>基波初相位0°；幅值按总Vpp归一化</x:v>
      </x:c>
    </x:row>
    <x:row r="51">
      <x:c r="A51" s="62" t="n">
        <x:v>47</x:v>
      </x:c>
      <x:c r="B51" s="63" t="n">
        <x:v>2</x:v>
      </x:c>
      <x:c r="C51" s="63" t="str">
        <x:v>ub</x:v>
      </x:c>
      <x:c r="D51" s="78" t="str">
        <x:v>典型组合</x:v>
      </x:c>
      <x:c r="E51" s="66" t="n">
        <x:v>60</x:v>
      </x:c>
      <x:c r="F51" s="66" t="n">
        <x:v>68.5</x:v>
      </x:c>
      <x:c r="G51" s="67" t="n">
        <x:v>2</x:v>
      </x:c>
      <x:c r="H51" s="67" t="n">
        <x:v>3</x:v>
      </x:c>
      <x:c r="I51" s="66" t="n">
        <x:f>F51*H51</x:f>
        <x:v>205.5</x:v>
      </x:c>
      <x:c r="J51" s="68" t="n">
        <x:v>0.994</x:v>
      </x:c>
      <x:c r="K51" s="67" t="n">
        <x:v>0</x:v>
      </x:c>
      <x:c r="L51" s="67" t="n">
        <x:v>5</x:v>
      </x:c>
      <x:c r="M51" s="66" t="n">
        <x:f>IF(L51="","",F51*L51)</x:f>
        <x:v>342.5</x:v>
      </x:c>
      <x:c r="N51" s="68" t="n">
        <x:v>0.488</x:v>
      </x:c>
      <x:c r="O51" s="67" t="n">
        <x:v>60</x:v>
      </x:c>
      <x:c r="P51" s="69" t="n">
        <x:v>3.998712802206216</x:v>
      </x:c>
      <x:c r="Q51" s="70" t="n">
        <x:f>E51/P51</x:f>
        <x:v>15.004828545549985</x:v>
      </x:c>
      <x:c r="R51" s="70" t="n">
        <x:f>2*Q51</x:f>
        <x:v>30.00965709109997</x:v>
      </x:c>
      <x:c r="S51" s="70" t="n">
        <x:f>Q51*J51</x:f>
        <x:v>14.914799574276685</x:v>
      </x:c>
      <x:c r="T51" s="70" t="n">
        <x:f>2*S51</x:f>
        <x:v>29.82959914855337</x:v>
      </x:c>
      <x:c r="U51" s="70" t="n">
        <x:f>IF(G51=2,Q51*N51,"")</x:f>
        <x:v>7.322356330228393</x:v>
      </x:c>
      <x:c r="V51" s="70" t="n">
        <x:f>IF(U51="","",2*U51)</x:f>
        <x:v>14.644712660456786</x:v>
      </x:c>
      <x:c r="W51" s="70" t="n">
        <x:f>SQRT((Q51^2+S51^2+IF(U51="",0,U51^2))/2)</x:f>
        <x:v>15.830556342861604</x:v>
      </x:c>
      <x:c r="X51" s="71" t="n">
        <x:v>0</x:v>
      </x:c>
      <x:c r="Y51" s="71"/>
      <x:c r="Z51" s="80" t="str">
        <x:v>基波初相位0°；幅值按总Vpp归一化</x:v>
      </x:c>
    </x:row>
    <x:row r="52">
      <x:c r="A52" s="62" t="n">
        <x:v>48</x:v>
      </x:c>
      <x:c r="B52" s="63" t="n">
        <x:v>2</x:v>
      </x:c>
      <x:c r="C52" s="63" t="str">
        <x:v>ub</x:v>
      </x:c>
      <x:c r="D52" s="78" t="str">
        <x:v>典型组合/弱谐波</x:v>
      </x:c>
      <x:c r="E52" s="66" t="n">
        <x:v>75</x:v>
      </x:c>
      <x:c r="F52" s="66" t="n">
        <x:v>82</x:v>
      </x:c>
      <x:c r="G52" s="67" t="n">
        <x:v>2</x:v>
      </x:c>
      <x:c r="H52" s="67" t="n">
        <x:v>4</x:v>
      </x:c>
      <x:c r="I52" s="66" t="n">
        <x:f>F52*H52</x:f>
        <x:v>328</x:v>
      </x:c>
      <x:c r="J52" s="68" t="n">
        <x:v>0.252</x:v>
      </x:c>
      <x:c r="K52" s="67" t="n">
        <x:v>45</x:v>
      </x:c>
      <x:c r="L52" s="67" t="n">
        <x:v>5</x:v>
      </x:c>
      <x:c r="M52" s="66" t="n">
        <x:f>IF(L52="","",F52*L52)</x:f>
        <x:v>410</x:v>
      </x:c>
      <x:c r="N52" s="68" t="n">
        <x:v>0.16</x:v>
      </x:c>
      <x:c r="O52" s="67" t="n">
        <x:v>120</x:v>
      </x:c>
      <x:c r="P52" s="69" t="n">
        <x:v>2.370873034648908</x:v>
      </x:c>
      <x:c r="Q52" s="70" t="n">
        <x:f>E52/P52</x:f>
        <x:v>31.633916664418265</x:v>
      </x:c>
      <x:c r="R52" s="70" t="n">
        <x:f>2*Q52</x:f>
        <x:v>63.26783332883653</x:v>
      </x:c>
      <x:c r="S52" s="70" t="n">
        <x:f>Q52*J52</x:f>
        <x:v>7.971746999433403</x:v>
      </x:c>
      <x:c r="T52" s="70" t="n">
        <x:f>2*S52</x:f>
        <x:v>15.943493998866806</x:v>
      </x:c>
      <x:c r="U52" s="70" t="n">
        <x:f>IF(G52=2,Q52*N52,"")</x:f>
        <x:v>5.0614266663069225</x:v>
      </x:c>
      <x:c r="V52" s="70" t="n">
        <x:f>IF(U52="","",2*U52)</x:f>
        <x:v>10.122853332613845</x:v>
      </x:c>
      <x:c r="W52" s="70" t="n">
        <x:f>SQRT((Q52^2+S52^2+IF(U52="",0,U52^2))/2)</x:f>
        <x:v>23.34385865332398</x:v>
      </x:c>
      <x:c r="X52" s="71" t="n">
        <x:v>0</x:v>
      </x:c>
      <x:c r="Y52" s="71"/>
      <x:c r="Z52" s="80" t="str">
        <x:v>基波初相位0°；幅值按总Vpp归一化</x:v>
      </x:c>
    </x:row>
    <x:row r="53">
      <x:c r="A53" s="62" t="n">
        <x:v>49</x:v>
      </x:c>
      <x:c r="B53" s="63" t="n">
        <x:v>2</x:v>
      </x:c>
      <x:c r="C53" s="63" t="str">
        <x:v>ub</x:v>
      </x:c>
      <x:c r="D53" s="78" t="str">
        <x:v>典型组合</x:v>
      </x:c>
      <x:c r="E53" s="66" t="n">
        <x:v>100</x:v>
      </x:c>
      <x:c r="F53" s="66" t="n">
        <x:v>238</x:v>
      </x:c>
      <x:c r="G53" s="67" t="n">
        <x:v>1</x:v>
      </x:c>
      <x:c r="H53" s="67" t="n">
        <x:v>2</x:v>
      </x:c>
      <x:c r="I53" s="66" t="n">
        <x:f>F53*H53</x:f>
        <x:v>476</x:v>
      </x:c>
      <x:c r="J53" s="68" t="n">
        <x:v>0.39</x:v>
      </x:c>
      <x:c r="K53" s="67" t="n">
        <x:v>90</x:v>
      </x:c>
      <x:c r="L53" s="67"/>
      <x:c r="M53" s="66" t="str">
        <x:f>IF(L53="","",F53*L53)</x:f>
      </x:c>
      <x:c r="N53" s="68"/>
      <x:c r="O53" s="67"/>
      <x:c r="P53" s="69" t="n">
        <x:v>2.100512820360496</x:v>
      </x:c>
      <x:c r="Q53" s="70" t="n">
        <x:f>E53/P53</x:f>
        <x:v>47.60742187845238</x:v>
      </x:c>
      <x:c r="R53" s="70" t="n">
        <x:f>2*Q53</x:f>
        <x:v>95.21484375690476</x:v>
      </x:c>
      <x:c r="S53" s="70" t="n">
        <x:f>Q53*J53</x:f>
        <x:v>18.56689453259643</x:v>
      </x:c>
      <x:c r="T53" s="70" t="n">
        <x:f>2*S53</x:f>
        <x:v>37.13378906519286</x:v>
      </x:c>
      <x:c r="U53" s="70" t="str">
        <x:f>IF(G53=2,Q53*N53,"")</x:f>
      </x:c>
      <x:c r="V53" s="70" t="str">
        <x:f>IF(U53="","",2*U53)</x:f>
      </x:c>
      <x:c r="W53" s="70" t="n">
        <x:f>SQRT((Q53^2+S53^2+IF(U53="",0,U53^2))/2)</x:f>
        <x:v>36.13306097258787</x:v>
      </x:c>
      <x:c r="X53" s="71" t="n">
        <x:v>0</x:v>
      </x:c>
      <x:c r="Y53" s="71"/>
      <x:c r="Z53" s="80" t="str">
        <x:v>基波初相位0°；幅值按总Vpp归一化</x:v>
      </x:c>
    </x:row>
    <x:row r="54">
      <x:c r="A54" s="62" t="n">
        <x:v>50</x:v>
      </x:c>
      <x:c r="B54" s="63" t="n">
        <x:v>2</x:v>
      </x:c>
      <x:c r="C54" s="63" t="str">
        <x:v>ub</x:v>
      </x:c>
      <x:c r="D54" s="78" t="str">
        <x:v>典型组合</x:v>
      </x:c>
      <x:c r="E54" s="66" t="n">
        <x:v>125</x:v>
      </x:c>
      <x:c r="F54" s="66" t="n">
        <x:v>166.5</x:v>
      </x:c>
      <x:c r="G54" s="67" t="n">
        <x:v>1</x:v>
      </x:c>
      <x:c r="H54" s="67" t="n">
        <x:v>3</x:v>
      </x:c>
      <x:c r="I54" s="66" t="n">
        <x:f>F54*H54</x:f>
        <x:v>499.5</x:v>
      </x:c>
      <x:c r="J54" s="68" t="n">
        <x:v>0.611</x:v>
      </x:c>
      <x:c r="K54" s="67" t="n">
        <x:v>135</x:v>
      </x:c>
      <x:c r="L54" s="67"/>
      <x:c r="M54" s="66" t="str">
        <x:f>IF(L54="","",F54*L54)</x:f>
      </x:c>
      <x:c r="N54" s="68"/>
      <x:c r="O54" s="67"/>
      <x:c r="P54" s="69" t="n">
        <x:v>3.164218568702852</x:v>
      </x:c>
      <x:c r="Q54" s="70" t="n">
        <x:f>E54/P54</x:f>
        <x:v>39.504224277162635</x:v>
      </x:c>
      <x:c r="R54" s="70" t="n">
        <x:f>2*Q54</x:f>
        <x:v>79.00844855432527</x:v>
      </x:c>
      <x:c r="S54" s="70" t="n">
        <x:f>Q54*J54</x:f>
        <x:v>24.13708103334637</x:v>
      </x:c>
      <x:c r="T54" s="70" t="n">
        <x:f>2*S54</x:f>
        <x:v>48.27416206669274</x:v>
      </x:c>
      <x:c r="U54" s="70" t="str">
        <x:f>IF(G54=2,Q54*N54,"")</x:f>
      </x:c>
      <x:c r="V54" s="70" t="str">
        <x:f>IF(U54="","",2*U54)</x:f>
      </x:c>
      <x:c r="W54" s="70" t="n">
        <x:f>SQRT((Q54^2+S54^2+IF(U54="",0,U54^2))/2)</x:f>
        <x:v>32.73516776000006</x:v>
      </x:c>
      <x:c r="X54" s="71" t="n">
        <x:v>0</x:v>
      </x:c>
      <x:c r="Y54" s="71"/>
      <x:c r="Z54" s="80" t="str">
        <x:v>基波初相位0°；幅值按总Vpp归一化</x:v>
      </x:c>
    </x:row>
    <x:row r="55">
      <x:c r="A55" s="62" t="n">
        <x:v>51</x:v>
      </x:c>
      <x:c r="B55" s="63" t="n">
        <x:v>2</x:v>
      </x:c>
      <x:c r="C55" s="63" t="str">
        <x:v>ub</x:v>
      </x:c>
      <x:c r="D55" s="78" t="str">
        <x:v>典型组合/频率下限</x:v>
      </x:c>
      <x:c r="E55" s="66" t="n">
        <x:v>150</x:v>
      </x:c>
      <x:c r="F55" s="66" t="n">
        <x:v>10</x:v>
      </x:c>
      <x:c r="G55" s="67" t="n">
        <x:v>1</x:v>
      </x:c>
      <x:c r="H55" s="67" t="n">
        <x:v>4</x:v>
      </x:c>
      <x:c r="I55" s="66" t="n">
        <x:f>F55*H55</x:f>
        <x:v>40</x:v>
      </x:c>
      <x:c r="J55" s="68" t="n">
        <x:v>0.797</x:v>
      </x:c>
      <x:c r="K55" s="67" t="n">
        <x:v>180</x:v>
      </x:c>
      <x:c r="L55" s="67"/>
      <x:c r="M55" s="66" t="str">
        <x:f>IF(L55="","",F55*L55)</x:f>
      </x:c>
      <x:c r="N55" s="68"/>
      <x:c r="O55" s="67"/>
      <x:c r="P55" s="69" t="n">
        <x:v>3.4524751375172764</x:v>
      </x:c>
      <x:c r="Q55" s="70" t="n">
        <x:f>E55/P55</x:f>
        <x:v>43.447090572784575</x:v>
      </x:c>
      <x:c r="R55" s="70" t="n">
        <x:f>2*Q55</x:f>
        <x:v>86.89418114556915</x:v>
      </x:c>
      <x:c r="S55" s="70" t="n">
        <x:f>Q55*J55</x:f>
        <x:v>34.62733118650931</x:v>
      </x:c>
      <x:c r="T55" s="70" t="n">
        <x:f>2*S55</x:f>
        <x:v>69.25466237301862</x:v>
      </x:c>
      <x:c r="U55" s="70" t="str">
        <x:f>IF(G55=2,Q55*N55,"")</x:f>
      </x:c>
      <x:c r="V55" s="70" t="str">
        <x:f>IF(U55="","",2*U55)</x:f>
      </x:c>
      <x:c r="W55" s="70" t="n">
        <x:f>SQRT((Q55^2+S55^2+IF(U55="",0,U55^2))/2)</x:f>
        <x:v>39.28550460627906</x:v>
      </x:c>
      <x:c r="X55" s="71" t="n">
        <x:v>0</x:v>
      </x:c>
      <x:c r="Y55" s="71"/>
      <x:c r="Z55" s="80" t="str">
        <x:v>基波初相位0°；幅值按总Vpp归一化</x:v>
      </x:c>
    </x:row>
    <x:row r="56">
      <x:c r="A56" s="62" t="n">
        <x:v>52</x:v>
      </x:c>
      <x:c r="B56" s="63" t="n">
        <x:v>2</x:v>
      </x:c>
      <x:c r="C56" s="63" t="str">
        <x:v>ub</x:v>
      </x:c>
      <x:c r="D56" s="78" t="str">
        <x:v>典型组合</x:v>
      </x:c>
      <x:c r="E56" s="66" t="n">
        <x:v>175</x:v>
      </x:c>
      <x:c r="F56" s="66" t="n">
        <x:v>28</x:v>
      </x:c>
      <x:c r="G56" s="67" t="n">
        <x:v>1</x:v>
      </x:c>
      <x:c r="H56" s="67" t="n">
        <x:v>5</x:v>
      </x:c>
      <x:c r="I56" s="66" t="n">
        <x:f>F56*H56</x:f>
        <x:v>140</x:v>
      </x:c>
      <x:c r="J56" s="68" t="n">
        <x:v>0.993</x:v>
      </x:c>
      <x:c r="K56" s="67" t="n">
        <x:v>270</x:v>
      </x:c>
      <x:c r="L56" s="67"/>
      <x:c r="M56" s="66" t="str">
        <x:f>IF(L56="","",F56*L56)</x:f>
      </x:c>
      <x:c r="N56" s="68"/>
      <x:c r="O56" s="67"/>
      <x:c r="P56" s="69" t="n">
        <x:v>3.891818562556586</x:v>
      </x:c>
      <x:c r="Q56" s="70" t="n">
        <x:f>E56/P56</x:f>
        <x:v>44.96612500995941</x:v>
      </x:c>
      <x:c r="R56" s="70" t="n">
        <x:f>2*Q56</x:f>
        <x:v>89.93225001991883</x:v>
      </x:c>
      <x:c r="S56" s="70" t="n">
        <x:f>Q56*J56</x:f>
        <x:v>44.651362134889695</x:v>
      </x:c>
      <x:c r="T56" s="70" t="n">
        <x:f>2*S56</x:f>
        <x:v>89.30272426977939</x:v>
      </x:c>
      <x:c r="U56" s="70" t="str">
        <x:f>IF(G56=2,Q56*N56,"")</x:f>
      </x:c>
      <x:c r="V56" s="70" t="str">
        <x:f>IF(U56="","",2*U56)</x:f>
      </x:c>
      <x:c r="W56" s="70" t="n">
        <x:f>SQRT((Q56^2+S56^2+IF(U56="",0,U56^2))/2)</x:f>
        <x:v>44.80901995643488</x:v>
      </x:c>
      <x:c r="X56" s="71" t="n">
        <x:v>0</x:v>
      </x:c>
      <x:c r="Y56" s="71"/>
      <x:c r="Z56" s="80" t="str">
        <x:v>基波初相位0°；幅值按总Vpp归一化</x:v>
      </x:c>
    </x:row>
    <x:row r="57">
      <x:c r="A57" s="62" t="n">
        <x:v>53</x:v>
      </x:c>
      <x:c r="B57" s="63" t="n">
        <x:v>2</x:v>
      </x:c>
      <x:c r="C57" s="63" t="str">
        <x:v>ub</x:v>
      </x:c>
      <x:c r="D57" s="78" t="str">
        <x:v>典型组合/弱谐波</x:v>
      </x:c>
      <x:c r="E57" s="66" t="n">
        <x:v>200</x:v>
      </x:c>
      <x:c r="F57" s="66" t="n">
        <x:v>65</x:v>
      </x:c>
      <x:c r="G57" s="67" t="n">
        <x:v>2</x:v>
      </x:c>
      <x:c r="H57" s="67" t="n">
        <x:v>2</x:v>
      </x:c>
      <x:c r="I57" s="66" t="n">
        <x:f>F57*H57</x:f>
        <x:v>130</x:v>
      </x:c>
      <x:c r="J57" s="68" t="n">
        <x:v>0.237</x:v>
      </x:c>
      <x:c r="K57" s="67" t="n">
        <x:v>0</x:v>
      </x:c>
      <x:c r="L57" s="67" t="n">
        <x:v>3</x:v>
      </x:c>
      <x:c r="M57" s="66" t="n">
        <x:f>IF(L57="","",F57*L57)</x:f>
        <x:v>195</x:v>
      </x:c>
      <x:c r="N57" s="68" t="n">
        <x:v>0.15</x:v>
      </x:c>
      <x:c r="O57" s="67" t="n">
        <x:v>60</x:v>
      </x:c>
      <x:c r="P57" s="69" t="n">
        <x:v>2.1444057759844197</x:v>
      </x:c>
      <x:c r="Q57" s="70" t="n">
        <x:f>E57/P57</x:f>
        <x:v>93.26593046886715</x:v>
      </x:c>
      <x:c r="R57" s="70" t="n">
        <x:f>2*Q57</x:f>
        <x:v>186.5318609377343</x:v>
      </x:c>
      <x:c r="S57" s="70" t="n">
        <x:f>Q57*J57</x:f>
        <x:v>22.104025521121514</x:v>
      </x:c>
      <x:c r="T57" s="70" t="n">
        <x:f>2*S57</x:f>
        <x:v>44.20805104224303</x:v>
      </x:c>
      <x:c r="U57" s="70" t="n">
        <x:f>IF(G57=2,Q57*N57,"")</x:f>
        <x:v>13.989889570330073</x:v>
      </x:c>
      <x:c r="V57" s="70" t="n">
        <x:f>IF(U57="","",2*U57)</x:f>
        <x:v>27.979779140660145</x:v>
      </x:c>
      <x:c r="W57" s="70" t="n">
        <x:f>SQRT((Q57^2+S57^2+IF(U57="",0,U57^2))/2)</x:f>
        <x:v>68.49393674133493</x:v>
      </x:c>
      <x:c r="X57" s="71" t="n">
        <x:v>0</x:v>
      </x:c>
      <x:c r="Y57" s="71"/>
      <x:c r="Z57" s="80" t="str">
        <x:v>基波初相位0°；幅值按总Vpp归一化</x:v>
      </x:c>
    </x:row>
    <x:row r="58">
      <x:c r="A58" s="62" t="n">
        <x:v>54</x:v>
      </x:c>
      <x:c r="B58" s="63" t="n">
        <x:v>2</x:v>
      </x:c>
      <x:c r="C58" s="63" t="str">
        <x:v>ub</x:v>
      </x:c>
      <x:c r="D58" s="78" t="str">
        <x:v>典型组合/弱谐波</x:v>
      </x:c>
      <x:c r="E58" s="66" t="n">
        <x:v>225</x:v>
      </x:c>
      <x:c r="F58" s="66" t="n">
        <x:v>67.5</x:v>
      </x:c>
      <x:c r="G58" s="67" t="n">
        <x:v>2</x:v>
      </x:c>
      <x:c r="H58" s="67" t="n">
        <x:v>2</x:v>
      </x:c>
      <x:c r="I58" s="66" t="n">
        <x:f>F58*H58</x:f>
        <x:v>135</x:v>
      </x:c>
      <x:c r="J58" s="68" t="n">
        <x:v>0.382</x:v>
      </x:c>
      <x:c r="K58" s="67" t="n">
        <x:v>45</x:v>
      </x:c>
      <x:c r="L58" s="67" t="n">
        <x:v>4</x:v>
      </x:c>
      <x:c r="M58" s="66" t="n">
        <x:f>IF(L58="","",F58*L58)</x:f>
        <x:v>270</x:v>
      </x:c>
      <x:c r="N58" s="68" t="n">
        <x:v>0.216</x:v>
      </x:c>
      <x:c r="O58" s="67" t="n">
        <x:v>120</x:v>
      </x:c>
      <x:c r="P58" s="69" t="n">
        <x:v>2.4832569621260365</x:v>
      </x:c>
      <x:c r="Q58" s="70" t="n">
        <x:f>E58/P58</x:f>
        <x:v>90.60681332284139</x:v>
      </x:c>
      <x:c r="R58" s="70" t="n">
        <x:f>2*Q58</x:f>
        <x:v>181.21362664568278</x:v>
      </x:c>
      <x:c r="S58" s="70" t="n">
        <x:f>Q58*J58</x:f>
        <x:v>34.61180268932541</x:v>
      </x:c>
      <x:c r="T58" s="70" t="n">
        <x:f>2*S58</x:f>
        <x:v>69.22360537865082</x:v>
      </x:c>
      <x:c r="U58" s="70" t="n">
        <x:f>IF(G58=2,Q58*N58,"")</x:f>
        <x:v>19.57107167773374</x:v>
      </x:c>
      <x:c r="V58" s="70" t="n">
        <x:f>IF(U58="","",2*U58)</x:f>
        <x:v>39.14214335546748</x:v>
      </x:c>
      <x:c r="W58" s="70" t="n">
        <x:f>SQRT((Q58^2+S58^2+IF(U58="",0,U58^2))/2)</x:f>
        <x:v>69.96641463066409</x:v>
      </x:c>
      <x:c r="X58" s="71" t="n">
        <x:v>0</x:v>
      </x:c>
      <x:c r="Y58" s="71"/>
      <x:c r="Z58" s="80" t="str">
        <x:v>基波初相位0°；幅值按总Vpp归一化</x:v>
      </x:c>
    </x:row>
    <x:row r="59">
      <x:c r="A59" s="62" t="n">
        <x:v>55</x:v>
      </x:c>
      <x:c r="B59" s="63" t="n">
        <x:v>2</x:v>
      </x:c>
      <x:c r="C59" s="63" t="str">
        <x:v>ub</x:v>
      </x:c>
      <x:c r="D59" s="78" t="str">
        <x:v>典型组合</x:v>
      </x:c>
      <x:c r="E59" s="66" t="n">
        <x:v>240</x:v>
      </x:c>
      <x:c r="F59" s="66" t="n">
        <x:v>85</x:v>
      </x:c>
      <x:c r="G59" s="67" t="n">
        <x:v>2</x:v>
      </x:c>
      <x:c r="H59" s="67" t="n">
        <x:v>3</x:v>
      </x:c>
      <x:c r="I59" s="66" t="n">
        <x:f>F59*H59</x:f>
        <x:v>255</x:v>
      </x:c>
      <x:c r="J59" s="68" t="n">
        <x:v>0.486</x:v>
      </x:c>
      <x:c r="K59" s="67" t="n">
        <x:v>90</x:v>
      </x:c>
      <x:c r="L59" s="67" t="n">
        <x:v>4</x:v>
      </x:c>
      <x:c r="M59" s="66" t="n">
        <x:f>IF(L59="","",F59*L59)</x:f>
        <x:v>340</x:v>
      </x:c>
      <x:c r="N59" s="68" t="n">
        <x:v>0.298</x:v>
      </x:c>
      <x:c r="O59" s="67" t="n">
        <x:v>180</x:v>
      </x:c>
      <x:c r="P59" s="69" t="n">
        <x:v>2.7698748631913115</x:v>
      </x:c>
      <x:c r="Q59" s="70" t="n">
        <x:f>E59/P59</x:f>
        <x:v>86.64651359862661</x:v>
      </x:c>
      <x:c r="R59" s="70" t="n">
        <x:f>2*Q59</x:f>
        <x:v>173.29302719725322</x:v>
      </x:c>
      <x:c r="S59" s="70" t="n">
        <x:f>Q59*J59</x:f>
        <x:v>42.11020560893253</x:v>
      </x:c>
      <x:c r="T59" s="70" t="n">
        <x:f>2*S59</x:f>
        <x:v>84.22041121786506</x:v>
      </x:c>
      <x:c r="U59" s="70" t="n">
        <x:f>IF(G59=2,Q59*N59,"")</x:f>
        <x:v>25.82066105239073</x:v>
      </x:c>
      <x:c r="V59" s="70" t="n">
        <x:f>IF(U59="","",2*U59)</x:f>
        <x:v>51.64132210478146</x:v>
      </x:c>
      <x:c r="W59" s="70" t="n">
        <x:f>SQRT((Q59^2+S59^2+IF(U59="",0,U59^2))/2)</x:f>
        <x:v>70.52515250747781</x:v>
      </x:c>
      <x:c r="X59" s="71" t="n">
        <x:v>0</x:v>
      </x:c>
      <x:c r="Y59" s="71"/>
      <x:c r="Z59" s="80" t="str">
        <x:v>基波初相位0°；幅值按总Vpp归一化</x:v>
      </x:c>
    </x:row>
    <x:row r="60">
      <x:c r="A60" s="62" t="n">
        <x:v>56</x:v>
      </x:c>
      <x:c r="B60" s="63" t="n">
        <x:v>2</x:v>
      </x:c>
      <x:c r="C60" s="63" t="str">
        <x:v>ub</x:v>
      </x:c>
      <x:c r="D60" s="78" t="str">
        <x:v>幅值边界</x:v>
      </x:c>
      <x:c r="E60" s="66" t="n">
        <x:v>250</x:v>
      </x:c>
      <x:c r="F60" s="66" t="n">
        <x:v>82</x:v>
      </x:c>
      <x:c r="G60" s="67" t="n">
        <x:v>2</x:v>
      </x:c>
      <x:c r="H60" s="67" t="n">
        <x:v>3</x:v>
      </x:c>
      <x:c r="I60" s="66" t="n">
        <x:f>F60*H60</x:f>
        <x:v>246</x:v>
      </x:c>
      <x:c r="J60" s="68" t="n">
        <x:v>0.736</x:v>
      </x:c>
      <x:c r="K60" s="67" t="n">
        <x:v>135</x:v>
      </x:c>
      <x:c r="L60" s="67" t="n">
        <x:v>5</x:v>
      </x:c>
      <x:c r="M60" s="66" t="n">
        <x:f>IF(L60="","",F60*L60)</x:f>
        <x:v>410</x:v>
      </x:c>
      <x:c r="N60" s="68" t="n">
        <x:v>0.403</x:v>
      </x:c>
      <x:c r="O60" s="67" t="n">
        <x:v>240</x:v>
      </x:c>
      <x:c r="P60" s="69" t="n">
        <x:v>4.061624778617773</x:v>
      </x:c>
      <x:c r="Q60" s="70" t="n">
        <x:f>E60/P60</x:f>
        <x:v>61.55172218667586</x:v>
      </x:c>
      <x:c r="R60" s="70" t="n">
        <x:f>2*Q60</x:f>
        <x:v>123.10344437335172</x:v>
      </x:c>
      <x:c r="S60" s="70" t="n">
        <x:f>Q60*J60</x:f>
        <x:v>45.30206752939343</x:v>
      </x:c>
      <x:c r="T60" s="70" t="n">
        <x:f>2*S60</x:f>
        <x:v>90.60413505878687</x:v>
      </x:c>
      <x:c r="U60" s="70" t="n">
        <x:f>IF(G60=2,Q60*N60,"")</x:f>
        <x:v>24.805344041230374</x:v>
      </x:c>
      <x:c r="V60" s="70" t="n">
        <x:f>IF(U60="","",2*U60)</x:f>
        <x:v>49.61068808246075</x:v>
      </x:c>
      <x:c r="W60" s="70" t="n">
        <x:f>SQRT((Q60^2+S60^2+IF(U60="",0,U60^2))/2)</x:f>
        <x:v>56.81635732598163</x:v>
      </x:c>
      <x:c r="X60" s="71" t="n">
        <x:v>0</x:v>
      </x:c>
      <x:c r="Y60" s="71"/>
      <x:c r="Z60" s="80" t="str">
        <x:v>基波初相位0°；幅值按总Vpp归一化</x:v>
      </x:c>
    </x:row>
    <x:row r="61">
      <x:c r="A61" s="62" t="n">
        <x:v>57</x:v>
      </x:c>
      <x:c r="B61" s="63" t="n">
        <x:v>2</x:v>
      </x:c>
      <x:c r="C61" s="63" t="str">
        <x:v>ub</x:v>
      </x:c>
      <x:c r="D61" s="78" t="str">
        <x:v>幅值边界</x:v>
      </x:c>
      <x:c r="E61" s="66" t="n">
        <x:v>50</x:v>
      </x:c>
      <x:c r="F61" s="66" t="n">
        <x:v>95.5</x:v>
      </x:c>
      <x:c r="G61" s="67" t="n">
        <x:v>2</x:v>
      </x:c>
      <x:c r="H61" s="67" t="n">
        <x:v>4</x:v>
      </x:c>
      <x:c r="I61" s="66" t="n">
        <x:f>F61*H61</x:f>
        <x:v>382</x:v>
      </x:c>
      <x:c r="J61" s="68" t="n">
        <x:v>0.987</x:v>
      </x:c>
      <x:c r="K61" s="67" t="n">
        <x:v>180</x:v>
      </x:c>
      <x:c r="L61" s="67" t="n">
        <x:v>5</x:v>
      </x:c>
      <x:c r="M61" s="66" t="n">
        <x:f>IF(L61="","",F61*L61)</x:f>
        <x:v>477.5</x:v>
      </x:c>
      <x:c r="N61" s="68" t="n">
        <x:v>0.487</x:v>
      </x:c>
      <x:c r="O61" s="67" t="n">
        <x:v>0</x:v>
      </x:c>
      <x:c r="P61" s="69" t="n">
        <x:v>3.915903617781277</x:v>
      </x:c>
      <x:c r="Q61" s="70" t="n">
        <x:f>E61/P61</x:f>
        <x:v>12.768445007931437</x:v>
      </x:c>
      <x:c r="R61" s="70" t="n">
        <x:f>2*Q61</x:f>
        <x:v>25.536890015862873</x:v>
      </x:c>
      <x:c r="S61" s="70" t="n">
        <x:f>Q61*J61</x:f>
        <x:v>12.602455222828327</x:v>
      </x:c>
      <x:c r="T61" s="70" t="n">
        <x:f>2*S61</x:f>
        <x:v>25.204910445656655</x:v>
      </x:c>
      <x:c r="U61" s="70" t="n">
        <x:f>IF(G61=2,Q61*N61,"")</x:f>
        <x:v>6.21823271886261</x:v>
      </x:c>
      <x:c r="V61" s="70" t="n">
        <x:f>IF(U61="","",2*U61)</x:f>
        <x:v>12.43646543772522</x:v>
      </x:c>
      <x:c r="W61" s="70" t="n">
        <x:f>SQRT((Q61^2+S61^2+IF(U61="",0,U61^2))/2)</x:f>
        <x:v>13.42612162372097</x:v>
      </x:c>
      <x:c r="X61" s="71" t="n">
        <x:v>0</x:v>
      </x:c>
      <x:c r="Y61" s="71"/>
      <x:c r="Z61" s="80" t="str">
        <x:v>基波初相位0°；幅值按总Vpp归一化</x:v>
      </x:c>
    </x:row>
    <x:row r="62">
      <x:c r="A62" s="62" t="n">
        <x:v>58</x:v>
      </x:c>
      <x:c r="B62" s="63" t="n">
        <x:v>2</x:v>
      </x:c>
      <x:c r="C62" s="63" t="str">
        <x:v>ub</x:v>
      </x:c>
      <x:c r="D62" s="78" t="str">
        <x:v>典型组合/频率上限/弱谐波</x:v>
      </x:c>
      <x:c r="E62" s="66" t="n">
        <x:v>60</x:v>
      </x:c>
      <x:c r="F62" s="66" t="n">
        <x:v>250</x:v>
      </x:c>
      <x:c r="G62" s="67" t="n">
        <x:v>1</x:v>
      </x:c>
      <x:c r="H62" s="67" t="n">
        <x:v>2</x:v>
      </x:c>
      <x:c r="I62" s="66" t="n">
        <x:f>F62*H62</x:f>
        <x:v>500</x:v>
      </x:c>
      <x:c r="J62" s="68" t="n">
        <x:v>0.243</x:v>
      </x:c>
      <x:c r="K62" s="67" t="n">
        <x:v>270</x:v>
      </x:c>
      <x:c r="L62" s="67"/>
      <x:c r="M62" s="66" t="str">
        <x:f>IF(L62="","",F62*L62)</x:f>
      </x:c>
      <x:c r="N62" s="68"/>
      <x:c r="O62" s="67"/>
      <x:c r="P62" s="69" t="n">
        <x:v>2</x:v>
      </x:c>
      <x:c r="Q62" s="70" t="n">
        <x:f>E62/P62</x:f>
        <x:v>30</x:v>
      </x:c>
      <x:c r="R62" s="70" t="n">
        <x:f>2*Q62</x:f>
        <x:v>60</x:v>
      </x:c>
      <x:c r="S62" s="70" t="n">
        <x:f>Q62*J62</x:f>
        <x:v>7.29</x:v>
      </x:c>
      <x:c r="T62" s="70" t="n">
        <x:f>2*S62</x:f>
        <x:v>14.58</x:v>
      </x:c>
      <x:c r="U62" s="70" t="str">
        <x:f>IF(G62=2,Q62*N62,"")</x:f>
      </x:c>
      <x:c r="V62" s="70" t="str">
        <x:f>IF(U62="","",2*U62)</x:f>
      </x:c>
      <x:c r="W62" s="70" t="n">
        <x:f>SQRT((Q62^2+S62^2+IF(U62="",0,U62^2))/2)</x:f>
        <x:v>21.83053022718413</x:v>
      </x:c>
      <x:c r="X62" s="71" t="n">
        <x:v>0</x:v>
      </x:c>
      <x:c r="Y62" s="71"/>
      <x:c r="Z62" s="80" t="str">
        <x:v>基波初相位0°；幅值按总Vpp归一化</x:v>
      </x:c>
    </x:row>
    <x:row r="63">
      <x:c r="A63" s="62" t="n">
        <x:v>59</x:v>
      </x:c>
      <x:c r="B63" s="63" t="n">
        <x:v>2</x:v>
      </x:c>
      <x:c r="C63" s="63" t="str">
        <x:v>ub</x:v>
      </x:c>
      <x:c r="D63" s="78" t="str">
        <x:v>典型组合/频率下限</x:v>
      </x:c>
      <x:c r="E63" s="66" t="n">
        <x:v>75</x:v>
      </x:c>
      <x:c r="F63" s="66" t="n">
        <x:v>10</x:v>
      </x:c>
      <x:c r="G63" s="67" t="n">
        <x:v>1</x:v>
      </x:c>
      <x:c r="H63" s="67" t="n">
        <x:v>3</x:v>
      </x:c>
      <x:c r="I63" s="66" t="n">
        <x:f>F63*H63</x:f>
        <x:v>30</x:v>
      </x:c>
      <x:c r="J63" s="68" t="n">
        <x:v>0.383</x:v>
      </x:c>
      <x:c r="K63" s="67" t="n">
        <x:v>0</x:v>
      </x:c>
      <x:c r="L63" s="67"/>
      <x:c r="M63" s="66" t="str">
        <x:f>IF(L63="","",F63*L63)</x:f>
      </x:c>
      <x:c r="N63" s="68"/>
      <x:c r="O63" s="67"/>
      <x:c r="P63" s="69" t="n">
        <x:v>1.959310874199383</x:v>
      </x:c>
      <x:c r="Q63" s="70" t="n">
        <x:f>E63/P63</x:f>
        <x:v>38.27876473693672</x:v>
      </x:c>
      <x:c r="R63" s="70" t="n">
        <x:f>2*Q63</x:f>
        <x:v>76.55752947387344</x:v>
      </x:c>
      <x:c r="S63" s="70" t="n">
        <x:f>Q63*J63</x:f>
        <x:v>14.660766894246764</x:v>
      </x:c>
      <x:c r="T63" s="70" t="n">
        <x:f>2*S63</x:f>
        <x:v>29.32153378849353</x:v>
      </x:c>
      <x:c r="U63" s="70" t="str">
        <x:f>IF(G63=2,Q63*N63,"")</x:f>
      </x:c>
      <x:c r="V63" s="70" t="str">
        <x:f>IF(U63="","",2*U63)</x:f>
      </x:c>
      <x:c r="W63" s="70" t="n">
        <x:f>SQRT((Q63^2+S63^2+IF(U63="",0,U63^2))/2)</x:f>
        <x:v>28.98449512854409</x:v>
      </x:c>
      <x:c r="X63" s="71" t="n">
        <x:v>0</x:v>
      </x:c>
      <x:c r="Y63" s="71"/>
      <x:c r="Z63" s="80" t="str">
        <x:v>基波初相位0°；幅值按总Vpp归一化</x:v>
      </x:c>
    </x:row>
    <x:row r="64">
      <x:c r="A64" s="62" t="n">
        <x:v>60</x:v>
      </x:c>
      <x:c r="B64" s="63" t="n">
        <x:v>2</x:v>
      </x:c>
      <x:c r="C64" s="63" t="str">
        <x:v>ub</x:v>
      </x:c>
      <x:c r="D64" s="78" t="str">
        <x:v>典型组合</x:v>
      </x:c>
      <x:c r="E64" s="66" t="n">
        <x:v>100</x:v>
      </x:c>
      <x:c r="F64" s="66" t="n">
        <x:v>33</x:v>
      </x:c>
      <x:c r="G64" s="67" t="n">
        <x:v>1</x:v>
      </x:c>
      <x:c r="H64" s="67" t="n">
        <x:v>4</x:v>
      </x:c>
      <x:c r="I64" s="66" t="n">
        <x:f>F64*H64</x:f>
        <x:v>132</x:v>
      </x:c>
      <x:c r="J64" s="68" t="n">
        <x:v>0.595</x:v>
      </x:c>
      <x:c r="K64" s="67" t="n">
        <x:v>45</x:v>
      </x:c>
      <x:c r="L64" s="67"/>
      <x:c r="M64" s="66" t="str">
        <x:f>IF(L64="","",F64*L64)</x:f>
      </x:c>
      <x:c r="N64" s="68"/>
      <x:c r="O64" s="67"/>
      <x:c r="P64" s="69" t="n">
        <x:v>3.0190156525548595</x:v>
      </x:c>
      <x:c r="Q64" s="70" t="n">
        <x:f>E64/P64</x:f>
        <x:v>33.12337911046417</x:v>
      </x:c>
      <x:c r="R64" s="70" t="n">
        <x:f>2*Q64</x:f>
        <x:v>66.24675822092834</x:v>
      </x:c>
      <x:c r="S64" s="70" t="n">
        <x:f>Q64*J64</x:f>
        <x:v>19.70841057072618</x:v>
      </x:c>
      <x:c r="T64" s="70" t="n">
        <x:f>2*S64</x:f>
        <x:v>39.41682114145236</x:v>
      </x:c>
      <x:c r="U64" s="70" t="str">
        <x:f>IF(G64=2,Q64*N64,"")</x:f>
      </x:c>
      <x:c r="V64" s="70" t="str">
        <x:f>IF(U64="","",2*U64)</x:f>
      </x:c>
      <x:c r="W64" s="70" t="n">
        <x:f>SQRT((Q64^2+S64^2+IF(U64="",0,U64^2))/2)</x:f>
        <x:v>27.25417115708938</x:v>
      </x:c>
      <x:c r="X64" s="71" t="n">
        <x:v>0</x:v>
      </x:c>
      <x:c r="Y64" s="71"/>
      <x:c r="Z64" s="80" t="str">
        <x:v>基波初相位0°；幅值按总Vpp归一化</x:v>
      </x:c>
    </x:row>
    <x:row r="65">
      <x:c r="A65" s="62" t="n">
        <x:v>61</x:v>
      </x:c>
      <x:c r="B65" s="63" t="n">
        <x:v>2</x:v>
      </x:c>
      <x:c r="C65" s="63" t="str">
        <x:v>ub</x:v>
      </x:c>
      <x:c r="D65" s="78" t="str">
        <x:v>典型组合</x:v>
      </x:c>
      <x:c r="E65" s="66" t="n">
        <x:v>125</x:v>
      </x:c>
      <x:c r="F65" s="66" t="n">
        <x:v>41.5</x:v>
      </x:c>
      <x:c r="G65" s="67" t="n">
        <x:v>1</x:v>
      </x:c>
      <x:c r="H65" s="67" t="n">
        <x:v>5</x:v>
      </x:c>
      <x:c r="I65" s="66" t="n">
        <x:f>F65*H65</x:f>
        <x:v>207.5</x:v>
      </x:c>
      <x:c r="J65" s="68" t="n">
        <x:v>0.786</x:v>
      </x:c>
      <x:c r="K65" s="67" t="n">
        <x:v>90</x:v>
      </x:c>
      <x:c r="L65" s="67"/>
      <x:c r="M65" s="66" t="str">
        <x:f>IF(L65="","",F65*L65)</x:f>
      </x:c>
      <x:c r="N65" s="68"/>
      <x:c r="O65" s="67"/>
      <x:c r="P65" s="69" t="n">
        <x:v>3.4787500268094753</x:v>
      </x:c>
      <x:c r="Q65" s="70" t="n">
        <x:f>E65/P65</x:f>
        <x:v>35.93244672272223</x:v>
      </x:c>
      <x:c r="R65" s="70" t="n">
        <x:f>2*Q65</x:f>
        <x:v>71.86489344544447</x:v>
      </x:c>
      <x:c r="S65" s="70" t="n">
        <x:f>Q65*J65</x:f>
        <x:v>28.242903124059676</x:v>
      </x:c>
      <x:c r="T65" s="70" t="n">
        <x:f>2*S65</x:f>
        <x:v>56.48580624811935</x:v>
      </x:c>
      <x:c r="U65" s="70" t="str">
        <x:f>IF(G65=2,Q65*N65,"")</x:f>
      </x:c>
      <x:c r="V65" s="70" t="str">
        <x:f>IF(U65="","",2*U65)</x:f>
      </x:c>
      <x:c r="W65" s="70" t="n">
        <x:f>SQRT((Q65^2+S65^2+IF(U65="",0,U65^2))/2)</x:f>
        <x:v>32.31719592071914</x:v>
      </x:c>
      <x:c r="X65" s="71" t="n">
        <x:v>0</x:v>
      </x:c>
      <x:c r="Y65" s="71"/>
      <x:c r="Z65" s="80" t="str">
        <x:v>基波初相位0°；幅值按总Vpp归一化</x:v>
      </x:c>
    </x:row>
    <x:row r="66">
      <x:c r="A66" s="62" t="n">
        <x:v>62</x:v>
      </x:c>
      <x:c r="B66" s="63" t="n">
        <x:v>2</x:v>
      </x:c>
      <x:c r="C66" s="63" t="str">
        <x:v>ub</x:v>
      </x:c>
      <x:c r="D66" s="78" t="str">
        <x:v>典型组合</x:v>
      </x:c>
      <x:c r="E66" s="66" t="n">
        <x:v>150</x:v>
      </x:c>
      <x:c r="F66" s="66" t="n">
        <x:v>88.5</x:v>
      </x:c>
      <x:c r="G66" s="67" t="n">
        <x:v>2</x:v>
      </x:c>
      <x:c r="H66" s="67" t="n">
        <x:v>2</x:v>
      </x:c>
      <x:c r="I66" s="66" t="n">
        <x:f>F66*H66</x:f>
        <x:v>177</x:v>
      </x:c>
      <x:c r="J66" s="68" t="n">
        <x:v>0.997</x:v>
      </x:c>
      <x:c r="K66" s="67" t="n">
        <x:v>135</x:v>
      </x:c>
      <x:c r="L66" s="67" t="n">
        <x:v>3</x:v>
      </x:c>
      <x:c r="M66" s="66" t="n">
        <x:f>IF(L66="","",F66*L66)</x:f>
        <x:v>265.5</x:v>
      </x:c>
      <x:c r="N66" s="68" t="n">
        <x:v>0.515</x:v>
      </x:c>
      <x:c r="O66" s="67" t="n">
        <x:v>240</x:v>
      </x:c>
      <x:c r="P66" s="69" t="n">
        <x:v>3.8045304116375207</x:v>
      </x:c>
      <x:c r="Q66" s="70" t="n">
        <x:f>E66/P66</x:f>
        <x:v>39.426679187836484</x:v>
      </x:c>
      <x:c r="R66" s="70" t="n">
        <x:f>2*Q66</x:f>
        <x:v>78.85335837567297</x:v>
      </x:c>
      <x:c r="S66" s="70" t="n">
        <x:f>Q66*J66</x:f>
        <x:v>39.308399150272976</x:v>
      </x:c>
      <x:c r="T66" s="70" t="n">
        <x:f>2*S66</x:f>
        <x:v>78.61679830054595</x:v>
      </x:c>
      <x:c r="U66" s="70" t="n">
        <x:f>IF(G66=2,Q66*N66,"")</x:f>
        <x:v>20.30473978173579</x:v>
      </x:c>
      <x:c r="V66" s="70" t="n">
        <x:f>IF(U66="","",2*U66)</x:f>
        <x:v>40.60947956347158</x:v>
      </x:c>
      <x:c r="W66" s="70" t="n">
        <x:f>SQRT((Q66^2+S66^2+IF(U66="",0,U66^2))/2)</x:f>
        <x:v>41.904031626692934</x:v>
      </x:c>
      <x:c r="X66" s="71" t="n">
        <x:v>0</x:v>
      </x:c>
      <x:c r="Y66" s="71"/>
      <x:c r="Z66" s="80" t="str">
        <x:v>基波初相位0°；幅值按总Vpp归一化</x:v>
      </x:c>
    </x:row>
    <x:row r="67">
      <x:c r="A67" s="62" t="n">
        <x:v>63</x:v>
      </x:c>
      <x:c r="B67" s="63" t="n">
        <x:v>2</x:v>
      </x:c>
      <x:c r="C67" s="63" t="str">
        <x:v>ub</x:v>
      </x:c>
      <x:c r="D67" s="78" t="str">
        <x:v>典型组合/弱谐波</x:v>
      </x:c>
      <x:c r="E67" s="66" t="n">
        <x:v>175</x:v>
      </x:c>
      <x:c r="F67" s="66" t="n">
        <x:v>85</x:v>
      </x:c>
      <x:c r="G67" s="67" t="n">
        <x:v>2</x:v>
      </x:c>
      <x:c r="H67" s="67" t="n">
        <x:v>2</x:v>
      </x:c>
      <x:c r="I67" s="66" t="n">
        <x:f>F67*H67</x:f>
        <x:v>170</x:v>
      </x:c>
      <x:c r="J67" s="68" t="n">
        <x:v>0.24</x:v>
      </x:c>
      <x:c r="K67" s="67" t="n">
        <x:v>180</x:v>
      </x:c>
      <x:c r="L67" s="67" t="n">
        <x:v>4</x:v>
      </x:c>
      <x:c r="M67" s="66" t="n">
        <x:f>IF(L67="","",F67*L67)</x:f>
        <x:v>340</x:v>
      </x:c>
      <x:c r="N67" s="68" t="n">
        <x:v>0.161</x:v>
      </x:c>
      <x:c r="O67" s="67" t="n">
        <x:v>0</x:v>
      </x:c>
      <x:c r="P67" s="69" t="n">
        <x:v>2.5096188249020286</x:v>
      </x:c>
      <x:c r="Q67" s="70" t="n">
        <x:f>E67/P67</x:f>
        <x:v>69.73170517512025</x:v>
      </x:c>
      <x:c r="R67" s="70" t="n">
        <x:f>2*Q67</x:f>
        <x:v>139.4634103502405</x:v>
      </x:c>
      <x:c r="S67" s="70" t="n">
        <x:f>Q67*J67</x:f>
        <x:v>16.73560924202886</x:v>
      </x:c>
      <x:c r="T67" s="70" t="n">
        <x:f>2*S67</x:f>
        <x:v>33.47121848405772</x:v>
      </x:c>
      <x:c r="U67" s="70" t="n">
        <x:f>IF(G67=2,Q67*N67,"")</x:f>
        <x:v>11.226804533194361</x:v>
      </x:c>
      <x:c r="V67" s="70" t="n">
        <x:f>IF(U67="","",2*U67)</x:f>
        <x:v>22.453609066388722</x:v>
      </x:c>
      <x:c r="W67" s="70" t="n">
        <x:f>SQRT((Q67^2+S67^2+IF(U67="",0,U67^2))/2)</x:f>
        <x:v>51.32559041724863</x:v>
      </x:c>
      <x:c r="X67" s="71" t="n">
        <x:v>0</x:v>
      </x:c>
      <x:c r="Y67" s="71"/>
      <x:c r="Z67" s="80" t="str">
        <x:v>基波初相位0°；幅值按总Vpp归一化</x:v>
      </x:c>
    </x:row>
    <x:row r="68">
      <x:c r="A68" s="62" t="n">
        <x:v>64</x:v>
      </x:c>
      <x:c r="B68" s="63" t="n">
        <x:v>2</x:v>
      </x:c>
      <x:c r="C68" s="63" t="str">
        <x:v>ub</x:v>
      </x:c>
      <x:c r="D68" s="78" t="str">
        <x:v>典型组合/弱谐波</x:v>
      </x:c>
      <x:c r="E68" s="66" t="n">
        <x:v>200</x:v>
      </x:c>
      <x:c r="F68" s="66" t="n">
        <x:v>102</x:v>
      </x:c>
      <x:c r="G68" s="67" t="n">
        <x:v>2</x:v>
      </x:c>
      <x:c r="H68" s="67" t="n">
        <x:v>3</x:v>
      </x:c>
      <x:c r="I68" s="66" t="n">
        <x:f>F68*H68</x:f>
        <x:v>306</x:v>
      </x:c>
      <x:c r="J68" s="68" t="n">
        <x:v>0.419</x:v>
      </x:c>
      <x:c r="K68" s="67" t="n">
        <x:v>270</x:v>
      </x:c>
      <x:c r="L68" s="67" t="n">
        <x:v>4</x:v>
      </x:c>
      <x:c r="M68" s="66" t="n">
        <x:f>IF(L68="","",F68*L68)</x:f>
        <x:v>408</x:v>
      </x:c>
      <x:c r="N68" s="68" t="n">
        <x:v>0.196</x:v>
      </x:c>
      <x:c r="O68" s="67" t="n">
        <x:v>30</x:v>
      </x:c>
      <x:c r="P68" s="69" t="n">
        <x:v>2.661922617218619</x:v>
      </x:c>
      <x:c r="Q68" s="70" t="n">
        <x:f>E68/P68</x:f>
        <x:v>75.13366418178427</x:v>
      </x:c>
      <x:c r="R68" s="70" t="n">
        <x:f>2*Q68</x:f>
        <x:v>150.26732836356854</x:v>
      </x:c>
      <x:c r="S68" s="70" t="n">
        <x:f>Q68*J68</x:f>
        <x:v>31.48100529216761</x:v>
      </x:c>
      <x:c r="T68" s="70" t="n">
        <x:f>2*S68</x:f>
        <x:v>62.96201058433522</x:v>
      </x:c>
      <x:c r="U68" s="70" t="n">
        <x:f>IF(G68=2,Q68*N68,"")</x:f>
        <x:v>14.726198179629717</x:v>
      </x:c>
      <x:c r="V68" s="70" t="n">
        <x:f>IF(U68="","",2*U68)</x:f>
        <x:v>29.452396359259435</x:v>
      </x:c>
      <x:c r="W68" s="70" t="n">
        <x:f>SQRT((Q68^2+S68^2+IF(U68="",0,U68^2))/2)</x:f>
        <x:v>58.53623706906836</x:v>
      </x:c>
      <x:c r="X68" s="71" t="n">
        <x:v>0</x:v>
      </x:c>
      <x:c r="Y68" s="71"/>
      <x:c r="Z68" s="80" t="str">
        <x:v>基波初相位0°；幅值按总Vpp归一化</x:v>
      </x:c>
    </x:row>
    <x:row r="69">
      <x:c r="A69" s="62" t="n">
        <x:v>65</x:v>
      </x:c>
      <x:c r="B69" s="63" t="n">
        <x:v>2</x:v>
      </x:c>
      <x:c r="C69" s="63" t="str">
        <x:v>ub</x:v>
      </x:c>
      <x:c r="D69" s="78" t="str">
        <x:v>典型组合</x:v>
      </x:c>
      <x:c r="E69" s="66" t="n">
        <x:v>225</x:v>
      </x:c>
      <x:c r="F69" s="66" t="n">
        <x:v>95.5</x:v>
      </x:c>
      <x:c r="G69" s="67" t="n">
        <x:v>2</x:v>
      </x:c>
      <x:c r="H69" s="67" t="n">
        <x:v>3</x:v>
      </x:c>
      <x:c r="I69" s="66" t="n">
        <x:f>F69*H69</x:f>
        <x:v>286.5</x:v>
      </x:c>
      <x:c r="J69" s="68" t="n">
        <x:v>0.485</x:v>
      </x:c>
      <x:c r="K69" s="67" t="n">
        <x:v>0</x:v>
      </x:c>
      <x:c r="L69" s="67" t="n">
        <x:v>5</x:v>
      </x:c>
      <x:c r="M69" s="66" t="n">
        <x:f>IF(L69="","",F69*L69)</x:f>
        <x:v>477.5</x:v>
      </x:c>
      <x:c r="N69" s="68" t="n">
        <x:v>0.296</x:v>
      </x:c>
      <x:c r="O69" s="67" t="n">
        <x:v>60</x:v>
      </x:c>
      <x:c r="P69" s="69" t="n">
        <x:v>2.6235221123956167</x:v>
      </x:c>
      <x:c r="Q69" s="70" t="n">
        <x:f>E69/P69</x:f>
        <x:v>85.76257045325444</x:v>
      </x:c>
      <x:c r="R69" s="70" t="n">
        <x:f>2*Q69</x:f>
        <x:v>171.52514090650888</x:v>
      </x:c>
      <x:c r="S69" s="70" t="n">
        <x:f>Q69*J69</x:f>
        <x:v>41.5948466698284</x:v>
      </x:c>
      <x:c r="T69" s="70" t="n">
        <x:f>2*S69</x:f>
        <x:v>83.1896933396568</x:v>
      </x:c>
      <x:c r="U69" s="70" t="n">
        <x:f>IF(G69=2,Q69*N69,"")</x:f>
        <x:v>25.385720854163313</x:v>
      </x:c>
      <x:c r="V69" s="70" t="n">
        <x:f>IF(U69="","",2*U69)</x:f>
        <x:v>50.77144170832663</x:v>
      </x:c>
      <x:c r="W69" s="70" t="n">
        <x:f>SQRT((Q69^2+S69^2+IF(U69="",0,U69^2))/2)</x:f>
        <x:v>69.74877985858056</x:v>
      </x:c>
      <x:c r="X69" s="71" t="n">
        <x:v>0</x:v>
      </x:c>
      <x:c r="Y69" s="71"/>
      <x:c r="Z69" s="80" t="str">
        <x:v>基波初相位0°；幅值按总Vpp归一化</x:v>
      </x:c>
    </x:row>
    <x:row r="70">
      <x:c r="A70" s="62" t="n">
        <x:v>66</x:v>
      </x:c>
      <x:c r="B70" s="63" t="n">
        <x:v>2</x:v>
      </x:c>
      <x:c r="C70" s="63" t="str">
        <x:v>ub</x:v>
      </x:c>
      <x:c r="D70" s="78" t="str">
        <x:v>典型组合/频率上限</x:v>
      </x:c>
      <x:c r="E70" s="66" t="n">
        <x:v>240</x:v>
      </x:c>
      <x:c r="F70" s="66" t="n">
        <x:v>100</x:v>
      </x:c>
      <x:c r="G70" s="67" t="n">
        <x:v>2</x:v>
      </x:c>
      <x:c r="H70" s="67" t="n">
        <x:v>4</x:v>
      </x:c>
      <x:c r="I70" s="66" t="n">
        <x:f>F70*H70</x:f>
        <x:v>400</x:v>
      </x:c>
      <x:c r="J70" s="68" t="n">
        <x:v>0.77</x:v>
      </x:c>
      <x:c r="K70" s="67" t="n">
        <x:v>45</x:v>
      </x:c>
      <x:c r="L70" s="67" t="n">
        <x:v>5</x:v>
      </x:c>
      <x:c r="M70" s="66" t="n">
        <x:f>IF(L70="","",F70*L70)</x:f>
        <x:v>500</x:v>
      </x:c>
      <x:c r="N70" s="68" t="n">
        <x:v>0.388</x:v>
      </x:c>
      <x:c r="O70" s="67" t="n">
        <x:v>120</x:v>
      </x:c>
      <x:c r="P70" s="69" t="n">
        <x:v>3.333919159982715</x:v>
      </x:c>
      <x:c r="Q70" s="70" t="n">
        <x:f>E70/P70</x:f>
        <x:v>71.98734836787233</x:v>
      </x:c>
      <x:c r="R70" s="70" t="n">
        <x:f>2*Q70</x:f>
        <x:v>143.97469673574466</x:v>
      </x:c>
      <x:c r="S70" s="70" t="n">
        <x:f>Q70*J70</x:f>
        <x:v>55.4302582432617</x:v>
      </x:c>
      <x:c r="T70" s="70" t="n">
        <x:f>2*S70</x:f>
        <x:v>110.8605164865234</x:v>
      </x:c>
      <x:c r="U70" s="70" t="n">
        <x:f>IF(G70=2,Q70*N70,"")</x:f>
        <x:v>27.931091166734465</x:v>
      </x:c>
      <x:c r="V70" s="70" t="n">
        <x:f>IF(U70="","",2*U70)</x:f>
        <x:v>55.86218233346893</x:v>
      </x:c>
      <x:c r="W70" s="70" t="n">
        <x:f>SQRT((Q70^2+S70^2+IF(U70="",0,U70^2))/2)</x:f>
        <x:v>67.21174639791963</x:v>
      </x:c>
      <x:c r="X70" s="71" t="n">
        <x:v>0</x:v>
      </x:c>
      <x:c r="Y70" s="71"/>
      <x:c r="Z70" s="80" t="str">
        <x:v>基波初相位0°；幅值按总Vpp归一化</x:v>
      </x:c>
    </x:row>
    <x:row r="71">
      <x:c r="A71" s="62" t="n">
        <x:v>67</x:v>
      </x:c>
      <x:c r="B71" s="63" t="n">
        <x:v>2</x:v>
      </x:c>
      <x:c r="C71" s="63" t="str">
        <x:v>ub</x:v>
      </x:c>
      <x:c r="D71" s="78" t="str">
        <x:v>幅值边界/频率下限</x:v>
      </x:c>
      <x:c r="E71" s="66" t="n">
        <x:v>250</x:v>
      </x:c>
      <x:c r="F71" s="66" t="n">
        <x:v>10</x:v>
      </x:c>
      <x:c r="G71" s="67" t="n">
        <x:v>1</x:v>
      </x:c>
      <x:c r="H71" s="67" t="n">
        <x:v>2</x:v>
      </x:c>
      <x:c r="I71" s="66" t="n">
        <x:f>F71*H71</x:f>
        <x:v>20</x:v>
      </x:c>
      <x:c r="J71" s="68" t="n">
        <x:v>1.015</x:v>
      </x:c>
      <x:c r="K71" s="67" t="n">
        <x:v>90</x:v>
      </x:c>
      <x:c r="L71" s="67"/>
      <x:c r="M71" s="66" t="str">
        <x:f>IF(L71="","",F71*L71)</x:f>
      </x:c>
      <x:c r="N71" s="68"/>
      <x:c r="O71" s="67"/>
      <x:c r="P71" s="69" t="n">
        <x:v>3.153152708436173</x:v>
      </x:c>
      <x:c r="Q71" s="70" t="n">
        <x:f>E71/P71</x:f>
        <x:v>79.28572546807895</x:v>
      </x:c>
      <x:c r="R71" s="70" t="n">
        <x:f>2*Q71</x:f>
        <x:v>158.5714509361579</x:v>
      </x:c>
      <x:c r="S71" s="70" t="n">
        <x:f>Q71*J71</x:f>
        <x:v>80.47501135010013</x:v>
      </x:c>
      <x:c r="T71" s="70" t="n">
        <x:f>2*S71</x:f>
        <x:v>160.95002270020026</x:v>
      </x:c>
      <x:c r="U71" s="70" t="str">
        <x:f>IF(G71=2,Q71*N71,"")</x:f>
      </x:c>
      <x:c r="V71" s="70" t="str">
        <x:f>IF(U71="","",2*U71)</x:f>
      </x:c>
      <x:c r="W71" s="70" t="n">
        <x:f>SQRT((Q71^2+S71^2+IF(U71="",0,U71^2))/2)</x:f>
        <x:v>79.8825816896222</x:v>
      </x:c>
      <x:c r="X71" s="71" t="n">
        <x:v>0</x:v>
      </x:c>
      <x:c r="Y71" s="71"/>
      <x:c r="Z71" s="80" t="str">
        <x:v>基波初相位0°；幅值按总Vpp归一化</x:v>
      </x:c>
    </x:row>
    <x:row r="72">
      <x:c r="A72" s="62" t="n">
        <x:v>68</x:v>
      </x:c>
      <x:c r="B72" s="63" t="n">
        <x:v>3</x:v>
      </x:c>
      <x:c r="C72" s="63" t="str">
        <x:v>ub+uJ</x:v>
      </x:c>
      <x:c r="D72" s="78" t="str">
        <x:v>幅值/频率/干扰下限</x:v>
      </x:c>
      <x:c r="E72" s="66" t="n">
        <x:v>50</x:v>
      </x:c>
      <x:c r="F72" s="66" t="n">
        <x:v>10</x:v>
      </x:c>
      <x:c r="G72" s="67" t="n">
        <x:v>2</x:v>
      </x:c>
      <x:c r="H72" s="67" t="n">
        <x:v>2</x:v>
      </x:c>
      <x:c r="I72" s="66" t="n">
        <x:f>F72*H72</x:f>
        <x:v>20</x:v>
      </x:c>
      <x:c r="J72" s="68" t="n">
        <x:v>0.5</x:v>
      </x:c>
      <x:c r="K72" s="67" t="n">
        <x:v>0</x:v>
      </x:c>
      <x:c r="L72" s="67" t="n">
        <x:v>3</x:v>
      </x:c>
      <x:c r="M72" s="66" t="n">
        <x:f>IF(L72="","",F72*L72)</x:f>
        <x:v>30</x:v>
      </x:c>
      <x:c r="N72" s="68" t="n">
        <x:v>0.25</x:v>
      </x:c>
      <x:c r="O72" s="67" t="n">
        <x:v>0</x:v>
      </x:c>
      <x:c r="P72" s="69" t="n">
        <x:v>2.775140637163692</x:v>
      </x:c>
      <x:c r="Q72" s="70" t="n">
        <x:f>E72/P72</x:f>
        <x:v>18.01710491007838</x:v>
      </x:c>
      <x:c r="R72" s="70" t="n">
        <x:f>2*Q72</x:f>
        <x:v>36.03420982015676</x:v>
      </x:c>
      <x:c r="S72" s="70" t="n">
        <x:f>Q72*J72</x:f>
        <x:v>9.00855245503919</x:v>
      </x:c>
      <x:c r="T72" s="70" t="n">
        <x:f>2*S72</x:f>
        <x:v>18.01710491007838</x:v>
      </x:c>
      <x:c r="U72" s="70" t="n">
        <x:f>IF(G72=2,Q72*N72,"")</x:f>
        <x:v>4.504276227519595</x:v>
      </x:c>
      <x:c r="V72" s="70" t="n">
        <x:f>IF(U72="","",2*U72)</x:f>
        <x:v>9.00855245503919</x:v>
      </x:c>
      <x:c r="W72" s="70" t="n">
        <x:f>SQRT((Q72^2+S72^2+IF(U72="",0,U72^2))/2)</x:f>
        <x:v>14.59552313227863</x:v>
      </x:c>
      <x:c r="X72" s="71" t="n">
        <x:v>200</x:v>
      </x:c>
      <x:c r="Y72" s="71" t="n">
        <x:v>1</x:v>
      </x:c>
      <x:c r="Z72" s="80" t="str">
        <x:v>基波初相位0°；幅值按总Vpp归一化</x:v>
      </x:c>
    </x:row>
    <x:row r="73">
      <x:c r="A73" s="62" t="n">
        <x:v>69</x:v>
      </x:c>
      <x:c r="B73" s="63" t="n">
        <x:v>3</x:v>
      </x:c>
      <x:c r="C73" s="63" t="str">
        <x:v>ub+uJ</x:v>
      </x:c>
      <x:c r="D73" s="78" t="str">
        <x:v>幅值/500kHz上限</x:v>
      </x:c>
      <x:c r="E73" s="66" t="n">
        <x:v>250</x:v>
      </x:c>
      <x:c r="F73" s="66" t="n">
        <x:v>250</x:v>
      </x:c>
      <x:c r="G73" s="67" t="n">
        <x:v>1</x:v>
      </x:c>
      <x:c r="H73" s="67" t="n">
        <x:v>2</x:v>
      </x:c>
      <x:c r="I73" s="66" t="n">
        <x:f>F73*H73</x:f>
        <x:v>500</x:v>
      </x:c>
      <x:c r="J73" s="68" t="n">
        <x:v>0.4</x:v>
      </x:c>
      <x:c r="K73" s="67" t="n">
        <x:v>0</x:v>
      </x:c>
      <x:c r="L73" s="67"/>
      <x:c r="M73" s="66" t="str">
        <x:f>IF(L73="","",F73*L73)</x:f>
      </x:c>
      <x:c r="N73" s="68"/>
      <x:c r="O73" s="67"/>
      <x:c r="P73" s="69" t="n">
        <x:v>2.4293470918219517</x:v>
      </x:c>
      <x:c r="Q73" s="70" t="n">
        <x:f>E73/P73</x:f>
        <x:v>102.90830850873023</x:v>
      </x:c>
      <x:c r="R73" s="70" t="n">
        <x:f>2*Q73</x:f>
        <x:v>205.81661701746046</x:v>
      </x:c>
      <x:c r="S73" s="70" t="n">
        <x:f>Q73*J73</x:f>
        <x:v>41.16332340349209</x:v>
      </x:c>
      <x:c r="T73" s="70" t="n">
        <x:f>2*S73</x:f>
        <x:v>82.32664680698419</x:v>
      </x:c>
      <x:c r="U73" s="70" t="str">
        <x:f>IF(G73=2,Q73*N73,"")</x:f>
      </x:c>
      <x:c r="V73" s="70" t="str">
        <x:f>IF(U73="","",2*U73)</x:f>
      </x:c>
      <x:c r="W73" s="70" t="n">
        <x:f>SQRT((Q73^2+S73^2+IF(U73="",0,U73^2))/2)</x:f>
        <x:v>78.37263283107337</x:v>
      </x:c>
      <x:c r="X73" s="71" t="n">
        <x:v>200</x:v>
      </x:c>
      <x:c r="Y73" s="71" t="n">
        <x:v>1.05</x:v>
      </x:c>
      <x:c r="Z73" s="80" t="str">
        <x:v>基波初相位0°；幅值按总Vpp归一化</x:v>
      </x:c>
    </x:row>
    <x:row r="74">
      <x:c r="A74" s="62" t="n">
        <x:v>70</x:v>
      </x:c>
      <x:c r="B74" s="63" t="n">
        <x:v>3</x:v>
      </x:c>
      <x:c r="C74" s="63" t="str">
        <x:v>ub+uJ</x:v>
      </x:c>
      <x:c r="D74" s="78" t="str">
        <x:v>500kHz边界/抗干扰</x:v>
      </x:c>
      <x:c r="E74" s="66" t="n">
        <x:v>150</x:v>
      </x:c>
      <x:c r="F74" s="66" t="n">
        <x:v>125</x:v>
      </x:c>
      <x:c r="G74" s="67" t="n">
        <x:v>2</x:v>
      </x:c>
      <x:c r="H74" s="67" t="n">
        <x:v>3</x:v>
      </x:c>
      <x:c r="I74" s="66" t="n">
        <x:f>F74*H74</x:f>
        <x:v>375</x:v>
      </x:c>
      <x:c r="J74" s="68" t="n">
        <x:v>0.4</x:v>
      </x:c>
      <x:c r="K74" s="67" t="n">
        <x:v>45</x:v>
      </x:c>
      <x:c r="L74" s="67" t="n">
        <x:v>4</x:v>
      </x:c>
      <x:c r="M74" s="66" t="n">
        <x:f>IF(L74="","",F74*L74)</x:f>
        <x:v>500</x:v>
      </x:c>
      <x:c r="N74" s="68" t="n">
        <x:v>0.2</x:v>
      </x:c>
      <x:c r="O74" s="67" t="n">
        <x:v>120</x:v>
      </x:c>
      <x:c r="P74" s="69" t="n">
        <x:v>2.342199720191068</x:v>
      </x:c>
      <x:c r="Q74" s="70" t="n">
        <x:f>E74/P74</x:f>
        <x:v>64.04236099377707</x:v>
      </x:c>
      <x:c r="R74" s="70" t="n">
        <x:f>2*Q74</x:f>
        <x:v>128.08472198755413</x:v>
      </x:c>
      <x:c r="S74" s="70" t="n">
        <x:f>Q74*J74</x:f>
        <x:v>25.616944397510828</x:v>
      </x:c>
      <x:c r="T74" s="70" t="n">
        <x:f>2*S74</x:f>
        <x:v>51.233888795021656</x:v>
      </x:c>
      <x:c r="U74" s="70" t="n">
        <x:f>IF(G74=2,Q74*N74,"")</x:f>
        <x:v>12.808472198755414</x:v>
      </x:c>
      <x:c r="V74" s="70" t="n">
        <x:f>IF(U74="","",2*U74)</x:f>
        <x:v>25.616944397510828</x:v>
      </x:c>
      <x:c r="W74" s="70" t="n">
        <x:f>SQRT((Q74^2+S74^2+IF(U74="",0,U74^2))/2)</x:f>
        <x:v>49.60699951614041</x:v>
      </x:c>
      <x:c r="X74" s="71" t="n">
        <x:v>200</x:v>
      </x:c>
      <x:c r="Y74" s="71" t="n">
        <x:v>3.5</x:v>
      </x:c>
      <x:c r="Z74" s="80" t="str">
        <x:v>基波初相位0°；幅值按总Vpp归一化</x:v>
      </x:c>
    </x:row>
    <x:row r="75">
      <x:c r="A75" s="62" t="n">
        <x:v>71</x:v>
      </x:c>
      <x:c r="B75" s="63" t="n">
        <x:v>3</x:v>
      </x:c>
      <x:c r="C75" s="63" t="str">
        <x:v>ub+uJ</x:v>
      </x:c>
      <x:c r="D75" s="78" t="str">
        <x:v>混叠压力/500kHz</x:v>
      </x:c>
      <x:c r="E75" s="66" t="n">
        <x:v>100</x:v>
      </x:c>
      <x:c r="F75" s="66" t="n">
        <x:v>100</x:v>
      </x:c>
      <x:c r="G75" s="67" t="n">
        <x:v>2</x:v>
      </x:c>
      <x:c r="H75" s="67" t="n">
        <x:v>4</x:v>
      </x:c>
      <x:c r="I75" s="66" t="n">
        <x:f>F75*H75</x:f>
        <x:v>400</x:v>
      </x:c>
      <x:c r="J75" s="68" t="n">
        <x:v>0.5</x:v>
      </x:c>
      <x:c r="K75" s="67" t="n">
        <x:v>90</x:v>
      </x:c>
      <x:c r="L75" s="67" t="n">
        <x:v>5</x:v>
      </x:c>
      <x:c r="M75" s="66" t="n">
        <x:f>IF(L75="","",F75*L75)</x:f>
        <x:v>500</x:v>
      </x:c>
      <x:c r="N75" s="68" t="n">
        <x:v>0.25</x:v>
      </x:c>
      <x:c r="O75" s="67" t="n">
        <x:v>180</x:v>
      </x:c>
      <x:c r="P75" s="69" t="n">
        <x:v>2.7260886376306903</x:v>
      </x:c>
      <x:c r="Q75" s="70" t="n">
        <x:f>E75/P75</x:f>
        <x:v>36.68259300875573</x:v>
      </x:c>
      <x:c r="R75" s="70" t="n">
        <x:f>2*Q75</x:f>
        <x:v>73.36518601751146</x:v>
      </x:c>
      <x:c r="S75" s="70" t="n">
        <x:f>Q75*J75</x:f>
        <x:v>18.341296504377866</x:v>
      </x:c>
      <x:c r="T75" s="70" t="n">
        <x:f>2*S75</x:f>
        <x:v>36.68259300875573</x:v>
      </x:c>
      <x:c r="U75" s="70" t="n">
        <x:f>IF(G75=2,Q75*N75,"")</x:f>
        <x:v>9.170648252188933</x:v>
      </x:c>
      <x:c r="V75" s="70" t="n">
        <x:f>IF(U75="","",2*U75)</x:f>
        <x:v>18.341296504377866</x:v>
      </x:c>
      <x:c r="W75" s="70" t="n">
        <x:f>SQRT((Q75^2+S75^2+IF(U75="",0,U75^2))/2)</x:f>
        <x:v>29.716296679371865</x:v>
      </x:c>
      <x:c r="X75" s="71" t="n">
        <x:v>200</x:v>
      </x:c>
      <x:c r="Y75" s="71" t="n">
        <x:v>7.5</x:v>
      </x:c>
      <x:c r="Z75" s="80" t="str">
        <x:v>8MSPS下需关注干扰混叠；用于压力测试</x:v>
      </x:c>
    </x:row>
    <x:row r="76">
      <x:c r="A76" s="62" t="n">
        <x:v>72</x:v>
      </x:c>
      <x:c r="B76" s="63" t="n">
        <x:v>3</x:v>
      </x:c>
      <x:c r="C76" s="63" t="str">
        <x:v>ub+uJ</x:v>
      </x:c>
      <x:c r="D76" s="78" t="str">
        <x:v>典型组合</x:v>
      </x:c>
      <x:c r="E76" s="66" t="n">
        <x:v>125</x:v>
      </x:c>
      <x:c r="F76" s="66" t="n">
        <x:v>112</x:v>
      </x:c>
      <x:c r="G76" s="67" t="n">
        <x:v>1</x:v>
      </x:c>
      <x:c r="H76" s="67" t="n">
        <x:v>3</x:v>
      </x:c>
      <x:c r="I76" s="66" t="n">
        <x:f>F76*H76</x:f>
        <x:v>336</x:v>
      </x:c>
      <x:c r="J76" s="68" t="n">
        <x:v>0.585</x:v>
      </x:c>
      <x:c r="K76" s="67" t="n">
        <x:v>180</x:v>
      </x:c>
      <x:c r="L76" s="67"/>
      <x:c r="M76" s="66" t="str">
        <x:f>IF(L76="","",F76*L76)</x:f>
      </x:c>
      <x:c r="N76" s="68"/>
      <x:c r="O76" s="67"/>
      <x:c r="P76" s="69" t="n">
        <x:v>3.17</x:v>
      </x:c>
      <x:c r="Q76" s="70" t="n">
        <x:f>E76/P76</x:f>
        <x:v>39.43217665615142</x:v>
      </x:c>
      <x:c r="R76" s="70" t="n">
        <x:f>2*Q76</x:f>
        <x:v>78.86435331230284</x:v>
      </x:c>
      <x:c r="S76" s="70" t="n">
        <x:f>Q76*J76</x:f>
        <x:v>23.06782334384858</x:v>
      </x:c>
      <x:c r="T76" s="70" t="n">
        <x:f>2*S76</x:f>
        <x:v>46.13564668769716</x:v>
      </x:c>
      <x:c r="U76" s="70" t="str">
        <x:f>IF(G76=2,Q76*N76,"")</x:f>
      </x:c>
      <x:c r="V76" s="70" t="str">
        <x:f>IF(U76="","",2*U76)</x:f>
      </x:c>
      <x:c r="W76" s="70" t="n">
        <x:f>SQRT((Q76^2+S76^2+IF(U76="",0,U76^2))/2)</x:f>
        <x:v>32.30341336194163</x:v>
      </x:c>
      <x:c r="X76" s="71" t="n">
        <x:v>200</x:v>
      </x:c>
      <x:c r="Y76" s="71" t="n">
        <x:v>2</x:v>
      </x:c>
      <x:c r="Z76" s="80" t="str">
        <x:v>基波初相位0°；幅值按总Vpp归一化</x:v>
      </x:c>
    </x:row>
    <x:row r="77">
      <x:c r="A77" s="62" t="n">
        <x:v>73</x:v>
      </x:c>
      <x:c r="B77" s="63" t="n">
        <x:v>3</x:v>
      </x:c>
      <x:c r="C77" s="63" t="str">
        <x:v>ub+uJ</x:v>
      </x:c>
      <x:c r="D77" s="78" t="str">
        <x:v>典型组合</x:v>
      </x:c>
      <x:c r="E77" s="66" t="n">
        <x:v>150</x:v>
      </x:c>
      <x:c r="F77" s="66" t="n">
        <x:v>102</x:v>
      </x:c>
      <x:c r="G77" s="67" t="n">
        <x:v>1</x:v>
      </x:c>
      <x:c r="H77" s="67" t="n">
        <x:v>4</x:v>
      </x:c>
      <x:c r="I77" s="66" t="n">
        <x:f>F77*H77</x:f>
        <x:v>408</x:v>
      </x:c>
      <x:c r="J77" s="68" t="n">
        <x:v>0.796</x:v>
      </x:c>
      <x:c r="K77" s="67" t="n">
        <x:v>270</x:v>
      </x:c>
      <x:c r="L77" s="67"/>
      <x:c r="M77" s="66" t="str">
        <x:f>IF(L77="","",F77*L77)</x:f>
      </x:c>
      <x:c r="N77" s="68"/>
      <x:c r="O77" s="67"/>
      <x:c r="P77" s="69" t="n">
        <x:v>3.317752243682979</x:v>
      </x:c>
      <x:c r="Q77" s="70" t="n">
        <x:f>E77/P77</x:f>
        <x:v>45.21133254769126</x:v>
      </x:c>
      <x:c r="R77" s="70" t="n">
        <x:f>2*Q77</x:f>
        <x:v>90.42266509538253</x:v>
      </x:c>
      <x:c r="S77" s="70" t="n">
        <x:f>Q77*J77</x:f>
        <x:v>35.98822070796225</x:v>
      </x:c>
      <x:c r="T77" s="70" t="n">
        <x:f>2*S77</x:f>
        <x:v>71.9764414159245</x:v>
      </x:c>
      <x:c r="U77" s="70" t="str">
        <x:f>IF(G77=2,Q77*N77,"")</x:f>
      </x:c>
      <x:c r="V77" s="70" t="str">
        <x:f>IF(U77="","",2*U77)</x:f>
      </x:c>
      <x:c r="W77" s="70" t="n">
        <x:f>SQRT((Q77^2+S77^2+IF(U77="",0,U77^2))/2)</x:f>
        <x:v>40.86084079202807</x:v>
      </x:c>
      <x:c r="X77" s="71" t="n">
        <x:v>200</x:v>
      </x:c>
      <x:c r="Y77" s="71" t="n">
        <x:v>2.5</x:v>
      </x:c>
      <x:c r="Z77" s="80" t="str">
        <x:v>基波初相位0°；幅值按总Vpp归一化</x:v>
      </x:c>
    </x:row>
    <x:row r="78">
      <x:c r="A78" s="62" t="n">
        <x:v>74</x:v>
      </x:c>
      <x:c r="B78" s="63" t="n">
        <x:v>3</x:v>
      </x:c>
      <x:c r="C78" s="63" t="str">
        <x:v>ub+uJ</x:v>
      </x:c>
      <x:c r="D78" s="78" t="str">
        <x:v>典型组合</x:v>
      </x:c>
      <x:c r="E78" s="66" t="n">
        <x:v>175</x:v>
      </x:c>
      <x:c r="F78" s="66" t="n">
        <x:v>95.5</x:v>
      </x:c>
      <x:c r="G78" s="67" t="n">
        <x:v>1</x:v>
      </x:c>
      <x:c r="H78" s="67" t="n">
        <x:v>5</x:v>
      </x:c>
      <x:c r="I78" s="66" t="n">
        <x:f>F78*H78</x:f>
        <x:v>477.5</x:v>
      </x:c>
      <x:c r="J78" s="68" t="n">
        <x:v>1.006</x:v>
      </x:c>
      <x:c r="K78" s="67" t="n">
        <x:v>0</x:v>
      </x:c>
      <x:c r="L78" s="67"/>
      <x:c r="M78" s="66" t="str">
        <x:f>IF(L78="","",F78*L78)</x:f>
      </x:c>
      <x:c r="N78" s="68"/>
      <x:c r="O78" s="67"/>
      <x:c r="P78" s="69" t="n">
        <x:v>4.0120000000000005</x:v>
      </x:c>
      <x:c r="Q78" s="70" t="n">
        <x:f>E78/P78</x:f>
        <x:v>43.619142572283145</x:v>
      </x:c>
      <x:c r="R78" s="70" t="n">
        <x:f>2*Q78</x:f>
        <x:v>87.23828514456629</x:v>
      </x:c>
      <x:c r="S78" s="70" t="n">
        <x:f>Q78*J78</x:f>
        <x:v>43.88085742771685</x:v>
      </x:c>
      <x:c r="T78" s="70" t="n">
        <x:f>2*S78</x:f>
        <x:v>87.7617148554337</x:v>
      </x:c>
      <x:c r="U78" s="70" t="str">
        <x:f>IF(G78=2,Q78*N78,"")</x:f>
      </x:c>
      <x:c r="V78" s="70" t="str">
        <x:f>IF(U78="","",2*U78)</x:f>
      </x:c>
      <x:c r="W78" s="70" t="n">
        <x:f>SQRT((Q78^2+S78^2+IF(U78="",0,U78^2))/2)</x:f>
        <x:v>43.750195698606746</x:v>
      </x:c>
      <x:c r="X78" s="71" t="n">
        <x:v>200</x:v>
      </x:c>
      <x:c r="Y78" s="71" t="n">
        <x:v>3</x:v>
      </x:c>
      <x:c r="Z78" s="80" t="str">
        <x:v>基波初相位0°；幅值按总Vpp归一化</x:v>
      </x:c>
    </x:row>
    <x:row r="79">
      <x:c r="A79" s="62" t="n">
        <x:v>75</x:v>
      </x:c>
      <x:c r="B79" s="63" t="n">
        <x:v>3</x:v>
      </x:c>
      <x:c r="C79" s="63" t="str">
        <x:v>ub+uJ</x:v>
      </x:c>
      <x:c r="D79" s="78" t="str">
        <x:v>典型组合/弱谐波</x:v>
      </x:c>
      <x:c r="E79" s="66" t="n">
        <x:v>200</x:v>
      </x:c>
      <x:c r="F79" s="66" t="n">
        <x:v>166.5</x:v>
      </x:c>
      <x:c r="G79" s="67" t="n">
        <x:v>2</x:v>
      </x:c>
      <x:c r="H79" s="67" t="n">
        <x:v>2</x:v>
      </x:c>
      <x:c r="I79" s="66" t="n">
        <x:f>F79*H79</x:f>
        <x:v>333</x:v>
      </x:c>
      <x:c r="J79" s="68" t="n">
        <x:v>0.246</x:v>
      </x:c>
      <x:c r="K79" s="67" t="n">
        <x:v>45</x:v>
      </x:c>
      <x:c r="L79" s="67" t="n">
        <x:v>3</x:v>
      </x:c>
      <x:c r="M79" s="66" t="n">
        <x:f>IF(L79="","",F79*L79)</x:f>
        <x:v>499.5</x:v>
      </x:c>
      <x:c r="N79" s="68" t="n">
        <x:v>0.16</x:v>
      </x:c>
      <x:c r="O79" s="67" t="n">
        <x:v>180</x:v>
      </x:c>
      <x:c r="P79" s="69" t="n">
        <x:v>2.372734410778592</x:v>
      </x:c>
      <x:c r="Q79" s="70" t="n">
        <x:f>E79/P79</x:f>
        <x:v>84.29093416079878</x:v>
      </x:c>
      <x:c r="R79" s="70" t="n">
        <x:f>2*Q79</x:f>
        <x:v>168.58186832159757</x:v>
      </x:c>
      <x:c r="S79" s="70" t="n">
        <x:f>Q79*J79</x:f>
        <x:v>20.7355698035565</x:v>
      </x:c>
      <x:c r="T79" s="70" t="n">
        <x:f>2*S79</x:f>
        <x:v>41.471139607113</x:v>
      </x:c>
      <x:c r="U79" s="70" t="n">
        <x:f>IF(G79=2,Q79*N79,"")</x:f>
        <x:v>13.486549465727805</x:v>
      </x:c>
      <x:c r="V79" s="70" t="n">
        <x:f>IF(U79="","",2*U79)</x:f>
        <x:v>26.97309893145561</x:v>
      </x:c>
      <x:c r="W79" s="70" t="n">
        <x:f>SQRT((Q79^2+S79^2+IF(U79="",0,U79^2))/2)</x:f>
        <x:v>62.11607059879836</x:v>
      </x:c>
      <x:c r="X79" s="71" t="n">
        <x:v>200</x:v>
      </x:c>
      <x:c r="Y79" s="71" t="n">
        <x:v>3.5</x:v>
      </x:c>
      <x:c r="Z79" s="80" t="str">
        <x:v>基波初相位0°；幅值按总Vpp归一化</x:v>
      </x:c>
    </x:row>
    <x:row r="80">
      <x:c r="A80" s="62" t="n">
        <x:v>76</x:v>
      </x:c>
      <x:c r="B80" s="63" t="n">
        <x:v>3</x:v>
      </x:c>
      <x:c r="C80" s="63" t="str">
        <x:v>ub+uJ</x:v>
      </x:c>
      <x:c r="D80" s="78" t="str">
        <x:v>典型组合/频率下限/弱谐波</x:v>
      </x:c>
      <x:c r="E80" s="66" t="n">
        <x:v>225</x:v>
      </x:c>
      <x:c r="F80" s="66" t="n">
        <x:v>10</x:v>
      </x:c>
      <x:c r="G80" s="67" t="n">
        <x:v>2</x:v>
      </x:c>
      <x:c r="H80" s="67" t="n">
        <x:v>2</x:v>
      </x:c>
      <x:c r="I80" s="66" t="n">
        <x:f>F80*H80</x:f>
        <x:v>20</x:v>
      </x:c>
      <x:c r="J80" s="68" t="n">
        <x:v>0.411</x:v>
      </x:c>
      <x:c r="K80" s="67" t="n">
        <x:v>90</x:v>
      </x:c>
      <x:c r="L80" s="67" t="n">
        <x:v>4</x:v>
      </x:c>
      <x:c r="M80" s="66" t="n">
        <x:f>IF(L80="","",F80*L80)</x:f>
        <x:v>40</x:v>
      </x:c>
      <x:c r="N80" s="68" t="n">
        <x:v>0.217</x:v>
      </x:c>
      <x:c r="O80" s="67" t="n">
        <x:v>240</x:v>
      </x:c>
      <x:c r="P80" s="69" t="n">
        <x:v>2.5473101199483787</x:v>
      </x:c>
      <x:c r="Q80" s="70" t="n">
        <x:f>E80/P80</x:f>
        <x:v>88.32846783671539</x:v>
      </x:c>
      <x:c r="R80" s="70" t="n">
        <x:f>2*Q80</x:f>
        <x:v>176.65693567343078</x:v>
      </x:c>
      <x:c r="S80" s="70" t="n">
        <x:f>Q80*J80</x:f>
        <x:v>36.303000280890025</x:v>
      </x:c>
      <x:c r="T80" s="70" t="n">
        <x:f>2*S80</x:f>
        <x:v>72.60600056178005</x:v>
      </x:c>
      <x:c r="U80" s="70" t="n">
        <x:f>IF(G80=2,Q80*N80,"")</x:f>
        <x:v>19.16727752056724</x:v>
      </x:c>
      <x:c r="V80" s="70" t="n">
        <x:f>IF(U80="","",2*U80)</x:f>
        <x:v>38.33455504113448</x:v>
      </x:c>
      <x:c r="W80" s="70" t="n">
        <x:f>SQRT((Q80^2+S80^2+IF(U80="",0,U80^2))/2)</x:f>
        <x:v>68.87383606031541</x:v>
      </x:c>
      <x:c r="X80" s="71" t="n">
        <x:v>200</x:v>
      </x:c>
      <x:c r="Y80" s="71" t="n">
        <x:v>4</x:v>
      </x:c>
      <x:c r="Z80" s="80" t="str">
        <x:v>基波初相位0°；幅值按总Vpp归一化</x:v>
      </x:c>
    </x:row>
    <x:row r="81">
      <x:c r="A81" s="62" t="n">
        <x:v>77</x:v>
      </x:c>
      <x:c r="B81" s="63" t="n">
        <x:v>3</x:v>
      </x:c>
      <x:c r="C81" s="63" t="str">
        <x:v>ub+uJ</x:v>
      </x:c>
      <x:c r="D81" s="78" t="str">
        <x:v>典型组合/混叠压力</x:v>
      </x:c>
      <x:c r="E81" s="66" t="n">
        <x:v>240</x:v>
      </x:c>
      <x:c r="F81" s="66" t="n">
        <x:v>33</x:v>
      </x:c>
      <x:c r="G81" s="67" t="n">
        <x:v>2</x:v>
      </x:c>
      <x:c r="H81" s="67" t="n">
        <x:v>3</x:v>
      </x:c>
      <x:c r="I81" s="66" t="n">
        <x:f>F81*H81</x:f>
        <x:v>99</x:v>
      </x:c>
      <x:c r="J81" s="68" t="n">
        <x:v>0.505</x:v>
      </x:c>
      <x:c r="K81" s="67" t="n">
        <x:v>135</x:v>
      </x:c>
      <x:c r="L81" s="67" t="n">
        <x:v>4</x:v>
      </x:c>
      <x:c r="M81" s="66" t="n">
        <x:f>IF(L81="","",F81*L81)</x:f>
        <x:v>132</x:v>
      </x:c>
      <x:c r="N81" s="68" t="n">
        <x:v>0.314</x:v>
      </x:c>
      <x:c r="O81" s="67" t="n">
        <x:v>0</x:v>
      </x:c>
      <x:c r="P81" s="69" t="n">
        <x:v>3.1106996349532485</x:v>
      </x:c>
      <x:c r="Q81" s="70" t="n">
        <x:f>E81/P81</x:f>
        <x:v>77.1530614216975</x:v>
      </x:c>
      <x:c r="R81" s="70" t="n">
        <x:f>2*Q81</x:f>
        <x:v>154.306122843395</x:v>
      </x:c>
      <x:c r="S81" s="70" t="n">
        <x:f>Q81*J81</x:f>
        <x:v>38.962296017957236</x:v>
      </x:c>
      <x:c r="T81" s="70" t="n">
        <x:f>2*S81</x:f>
        <x:v>77.92459203591447</x:v>
      </x:c>
      <x:c r="U81" s="70" t="n">
        <x:f>IF(G81=2,Q81*N81,"")</x:f>
        <x:v>24.226061286413014</x:v>
      </x:c>
      <x:c r="V81" s="70" t="n">
        <x:f>IF(U81="","",2*U81)</x:f>
        <x:v>48.45212257282603</x:v>
      </x:c>
      <x:c r="W81" s="70" t="n">
        <x:f>SQRT((Q81^2+S81^2+IF(U81="",0,U81^2))/2)</x:f>
        <x:v>63.47266121403842</x:v>
      </x:c>
      <x:c r="X81" s="71" t="n">
        <x:v>200</x:v>
      </x:c>
      <x:c r="Y81" s="71" t="n">
        <x:v>4.5</x:v>
      </x:c>
      <x:c r="Z81" s="80" t="str">
        <x:v>8MSPS下需关注干扰混叠；用于压力测试</x:v>
      </x:c>
    </x:row>
    <x:row r="82">
      <x:c r="A82" s="62" t="n">
        <x:v>78</x:v>
      </x:c>
      <x:c r="B82" s="63" t="n">
        <x:v>3</x:v>
      </x:c>
      <x:c r="C82" s="63" t="str">
        <x:v>ub+uJ</x:v>
      </x:c>
      <x:c r="D82" s="78" t="str">
        <x:v>幅值边界/混叠压力</x:v>
      </x:c>
      <x:c r="E82" s="66" t="n">
        <x:v>250</x:v>
      </x:c>
      <x:c r="F82" s="66" t="n">
        <x:v>41.5</x:v>
      </x:c>
      <x:c r="G82" s="67" t="n">
        <x:v>2</x:v>
      </x:c>
      <x:c r="H82" s="67" t="n">
        <x:v>3</x:v>
      </x:c>
      <x:c r="I82" s="66" t="n">
        <x:f>F82*H82</x:f>
        <x:v>124.5</x:v>
      </x:c>
      <x:c r="J82" s="68" t="n">
        <x:v>0.769</x:v>
      </x:c>
      <x:c r="K82" s="67" t="n">
        <x:v>180</x:v>
      </x:c>
      <x:c r="L82" s="67" t="n">
        <x:v>5</x:v>
      </x:c>
      <x:c r="M82" s="66" t="n">
        <x:f>IF(L82="","",F82*L82)</x:f>
        <x:v>207.5</x:v>
      </x:c>
      <x:c r="N82" s="68" t="n">
        <x:v>0.392</x:v>
      </x:c>
      <x:c r="O82" s="67" t="n">
        <x:v>30</x:v>
      </x:c>
      <x:c r="P82" s="69" t="n">
        <x:v>4.274120431650432</x:v>
      </x:c>
      <x:c r="Q82" s="70" t="n">
        <x:f>E82/P82</x:f>
        <x:v>58.49156662706943</x:v>
      </x:c>
      <x:c r="R82" s="70" t="n">
        <x:f>2*Q82</x:f>
        <x:v>116.98313325413886</x:v>
      </x:c>
      <x:c r="S82" s="70" t="n">
        <x:f>Q82*J82</x:f>
        <x:v>44.9800147362164</x:v>
      </x:c>
      <x:c r="T82" s="70" t="n">
        <x:f>2*S82</x:f>
        <x:v>89.9600294724328</x:v>
      </x:c>
      <x:c r="U82" s="70" t="n">
        <x:f>IF(G82=2,Q82*N82,"")</x:f>
        <x:v>22.92869411781122</x:v>
      </x:c>
      <x:c r="V82" s="70" t="n">
        <x:f>IF(U82="","",2*U82)</x:f>
        <x:v>45.85738823562244</x:v>
      </x:c>
      <x:c r="W82" s="70" t="n">
        <x:f>SQRT((Q82^2+S82^2+IF(U82="",0,U82^2))/2)</x:f>
        <x:v>54.63602340080809</x:v>
      </x:c>
      <x:c r="X82" s="71" t="n">
        <x:v>200</x:v>
      </x:c>
      <x:c r="Y82" s="71" t="n">
        <x:v>5</x:v>
      </x:c>
      <x:c r="Z82" s="80" t="str">
        <x:v>8MSPS下需关注干扰混叠；用于压力测试</x:v>
      </x:c>
    </x:row>
    <x:row r="83">
      <x:c r="A83" s="62" t="n">
        <x:v>79</x:v>
      </x:c>
      <x:c r="B83" s="63" t="n">
        <x:v>3</x:v>
      </x:c>
      <x:c r="C83" s="63" t="str">
        <x:v>ub+uJ</x:v>
      </x:c>
      <x:c r="D83" s="78" t="str">
        <x:v>幅值边界/混叠压力</x:v>
      </x:c>
      <x:c r="E83" s="66" t="n">
        <x:v>50</x:v>
      </x:c>
      <x:c r="F83" s="66" t="n">
        <x:v>55</x:v>
      </x:c>
      <x:c r="G83" s="67" t="n">
        <x:v>2</x:v>
      </x:c>
      <x:c r="H83" s="67" t="n">
        <x:v>4</x:v>
      </x:c>
      <x:c r="I83" s="66" t="n">
        <x:f>F83*H83</x:f>
        <x:v>220</x:v>
      </x:c>
      <x:c r="J83" s="68" t="n">
        <x:v>1.013</x:v>
      </x:c>
      <x:c r="K83" s="67" t="n">
        <x:v>270</x:v>
      </x:c>
      <x:c r="L83" s="67" t="n">
        <x:v>5</x:v>
      </x:c>
      <x:c r="M83" s="66" t="n">
        <x:f>IF(L83="","",F83*L83)</x:f>
        <x:v>275</x:v>
      </x:c>
      <x:c r="N83" s="68" t="n">
        <x:v>0.5</x:v>
      </x:c>
      <x:c r="O83" s="67" t="n">
        <x:v>60</x:v>
      </x:c>
      <x:c r="P83" s="69" t="n">
        <x:v>4.274975169868007</x:v>
      </x:c>
      <x:c r="Q83" s="70" t="n">
        <x:f>E83/P83</x:f>
        <x:v>11.695974365517493</x:v>
      </x:c>
      <x:c r="R83" s="70" t="n">
        <x:f>2*Q83</x:f>
        <x:v>23.391948731034987</x:v>
      </x:c>
      <x:c r="S83" s="70" t="n">
        <x:f>Q83*J83</x:f>
        <x:v>11.848022032269219</x:v>
      </x:c>
      <x:c r="T83" s="70" t="n">
        <x:f>2*S83</x:f>
        <x:v>23.696044064538437</x:v>
      </x:c>
      <x:c r="U83" s="70" t="n">
        <x:f>IF(G83=2,Q83*N83,"")</x:f>
        <x:v>5.847987182758747</x:v>
      </x:c>
      <x:c r="V83" s="70" t="n">
        <x:f>IF(U83="","",2*U83)</x:f>
        <x:v>11.695974365517493</x:v>
      </x:c>
      <x:c r="W83" s="70" t="n">
        <x:f>SQRT((Q83^2+S83^2+IF(U83="",0,U83^2))/2)</x:f>
        <x:v>12.477387477466783</x:v>
      </x:c>
      <x:c r="X83" s="71" t="n">
        <x:v>200</x:v>
      </x:c>
      <x:c r="Y83" s="71" t="n">
        <x:v>6</x:v>
      </x:c>
      <x:c r="Z83" s="80" t="str">
        <x:v>8MSPS下需关注干扰混叠；用于压力测试</x:v>
      </x:c>
    </x:row>
    <x:row r="84">
      <x:c r="A84" s="62" t="n">
        <x:v>80</x:v>
      </x:c>
      <x:c r="B84" s="63" t="n">
        <x:v>3</x:v>
      </x:c>
      <x:c r="C84" s="63" t="str">
        <x:v>ub+uJ</x:v>
      </x:c>
      <x:c r="D84" s="78" t="str">
        <x:v>典型组合/混叠压力</x:v>
      </x:c>
      <x:c r="E84" s="66" t="n">
        <x:v>60</x:v>
      </x:c>
      <x:c r="F84" s="66" t="n">
        <x:v>166</x:v>
      </x:c>
      <x:c r="G84" s="67" t="n">
        <x:v>1</x:v>
      </x:c>
      <x:c r="H84" s="67" t="n">
        <x:v>2</x:v>
      </x:c>
      <x:c r="I84" s="66" t="n">
        <x:f>F84*H84</x:f>
        <x:v>332</x:v>
      </x:c>
      <x:c r="J84" s="68" t="n">
        <x:v>0.269</x:v>
      </x:c>
      <x:c r="K84" s="67" t="n">
        <x:v>0</x:v>
      </x:c>
      <x:c r="L84" s="67"/>
      <x:c r="M84" s="66" t="str">
        <x:f>IF(L84="","",F84*L84)</x:f>
      </x:c>
      <x:c r="N84" s="68"/>
      <x:c r="O84" s="67"/>
      <x:c r="P84" s="69" t="n">
        <x:v>2.2281855458852293</x:v>
      </x:c>
      <x:c r="Q84" s="70" t="n">
        <x:f>E84/P84</x:f>
        <x:v>26.927739528156206</x:v>
      </x:c>
      <x:c r="R84" s="70" t="n">
        <x:f>2*Q84</x:f>
        <x:v>53.85547905631241</x:v>
      </x:c>
      <x:c r="S84" s="70" t="n">
        <x:f>Q84*J84</x:f>
        <x:v>7.2435619330740195</x:v>
      </x:c>
      <x:c r="T84" s="70" t="n">
        <x:f>2*S84</x:f>
        <x:v>14.487123866148039</x:v>
      </x:c>
      <x:c r="U84" s="70" t="str">
        <x:f>IF(G84=2,Q84*N84,"")</x:f>
      </x:c>
      <x:c r="V84" s="70" t="str">
        <x:f>IF(U84="","",2*U84)</x:f>
      </x:c>
      <x:c r="W84" s="70" t="n">
        <x:f>SQRT((Q84^2+S84^2+IF(U84="",0,U84^2))/2)</x:f>
        <x:v>19.717661443164417</x:v>
      </x:c>
      <x:c r="X84" s="71" t="n">
        <x:v>200</x:v>
      </x:c>
      <x:c r="Y84" s="71" t="n">
        <x:v>7</x:v>
      </x:c>
      <x:c r="Z84" s="80" t="str">
        <x:v>8MSPS下需关注干扰混叠；用于压力测试</x:v>
      </x:c>
    </x:row>
    <x:row r="85">
      <x:c r="A85" s="62" t="n">
        <x:v>81</x:v>
      </x:c>
      <x:c r="B85" s="63" t="n">
        <x:v>3</x:v>
      </x:c>
      <x:c r="C85" s="63" t="str">
        <x:v>ub+uJ</x:v>
      </x:c>
      <x:c r="D85" s="78" t="str">
        <x:v>典型组合/混叠压力</x:v>
      </x:c>
      <x:c r="E85" s="66" t="n">
        <x:v>75</x:v>
      </x:c>
      <x:c r="F85" s="66" t="n">
        <x:v>135.5</x:v>
      </x:c>
      <x:c r="G85" s="67" t="n">
        <x:v>1</x:v>
      </x:c>
      <x:c r="H85" s="67" t="n">
        <x:v>3</x:v>
      </x:c>
      <x:c r="I85" s="66" t="n">
        <x:f>F85*H85</x:f>
        <x:v>406.5</x:v>
      </x:c>
      <x:c r="J85" s="68" t="n">
        <x:v>0.39</x:v>
      </x:c>
      <x:c r="K85" s="67" t="n">
        <x:v>45</x:v>
      </x:c>
      <x:c r="L85" s="67"/>
      <x:c r="M85" s="66" t="str">
        <x:f>IF(L85="","",F85*L85)</x:f>
      </x:c>
      <x:c r="N85" s="68"/>
      <x:c r="O85" s="67"/>
      <x:c r="P85" s="69" t="n">
        <x:v>2.3138376755185326</x:v>
      </x:c>
      <x:c r="Q85" s="70" t="n">
        <x:f>E85/P85</x:f>
        <x:v>32.413682599058056</x:v>
      </x:c>
      <x:c r="R85" s="70" t="n">
        <x:f>2*Q85</x:f>
        <x:v>64.82736519811611</x:v>
      </x:c>
      <x:c r="S85" s="70" t="n">
        <x:f>Q85*J85</x:f>
        <x:v>12.641336213632643</x:v>
      </x:c>
      <x:c r="T85" s="70" t="n">
        <x:f>2*S85</x:f>
        <x:v>25.282672427265286</x:v>
      </x:c>
      <x:c r="U85" s="70" t="str">
        <x:f>IF(G85=2,Q85*N85,"")</x:f>
      </x:c>
      <x:c r="V85" s="70" t="str">
        <x:f>IF(U85="","",2*U85)</x:f>
      </x:c>
      <x:c r="W85" s="70" t="n">
        <x:f>SQRT((Q85^2+S85^2+IF(U85="",0,U85^2))/2)</x:f>
        <x:v>24.601323144280055</x:v>
      </x:c>
      <x:c r="X85" s="71" t="n">
        <x:v>200</x:v>
      </x:c>
      <x:c r="Y85" s="71" t="n">
        <x:v>7.5</x:v>
      </x:c>
      <x:c r="Z85" s="80" t="str">
        <x:v>8MSPS下需关注干扰混叠；用于压力测试</x:v>
      </x:c>
    </x:row>
    <x:row r="86">
      <x:c r="A86" s="62" t="n">
        <x:v>82</x:v>
      </x:c>
      <x:c r="B86" s="63" t="n">
        <x:v>3</x:v>
      </x:c>
      <x:c r="C86" s="63" t="str">
        <x:v>ub+uJ</x:v>
      </x:c>
      <x:c r="D86" s="78" t="str">
        <x:v>典型组合/混叠压力</x:v>
      </x:c>
      <x:c r="E86" s="66" t="n">
        <x:v>100</x:v>
      </x:c>
      <x:c r="F86" s="66" t="n">
        <x:v>119.5</x:v>
      </x:c>
      <x:c r="G86" s="67" t="n">
        <x:v>1</x:v>
      </x:c>
      <x:c r="H86" s="67" t="n">
        <x:v>4</x:v>
      </x:c>
      <x:c r="I86" s="66" t="n">
        <x:f>F86*H86</x:f>
        <x:v>478</x:v>
      </x:c>
      <x:c r="J86" s="68" t="n">
        <x:v>0.61</x:v>
      </x:c>
      <x:c r="K86" s="67" t="n">
        <x:v>90</x:v>
      </x:c>
      <x:c r="L86" s="67"/>
      <x:c r="M86" s="66" t="str">
        <x:f>IF(L86="","",F86*L86)</x:f>
      </x:c>
      <x:c r="N86" s="68"/>
      <x:c r="O86" s="67"/>
      <x:c r="P86" s="69" t="n">
        <x:v>2.9510926280486465</x:v>
      </x:c>
      <x:c r="Q86" s="70" t="n">
        <x:f>E86/P86</x:f>
        <x:v>33.88575439806615</x:v>
      </x:c>
      <x:c r="R86" s="70" t="n">
        <x:f>2*Q86</x:f>
        <x:v>67.7715087961323</x:v>
      </x:c>
      <x:c r="S86" s="70" t="n">
        <x:f>Q86*J86</x:f>
        <x:v>20.670310182820348</x:v>
      </x:c>
      <x:c r="T86" s="70" t="n">
        <x:f>2*S86</x:f>
        <x:v>41.340620365640696</x:v>
      </x:c>
      <x:c r="U86" s="70" t="str">
        <x:f>IF(G86=2,Q86*N86,"")</x:f>
      </x:c>
      <x:c r="V86" s="70" t="str">
        <x:f>IF(U86="","",2*U86)</x:f>
      </x:c>
      <x:c r="W86" s="70" t="n">
        <x:f>SQRT((Q86^2+S86^2+IF(U86="",0,U86^2))/2)</x:f>
        <x:v>28.066938505829825</x:v>
      </x:c>
      <x:c r="X86" s="71" t="n">
        <x:v>200</x:v>
      </x:c>
      <x:c r="Y86" s="71" t="n">
        <x:v>8.2</x:v>
      </x:c>
      <x:c r="Z86" s="80" t="str">
        <x:v>8MSPS下需关注干扰混叠；用于压力测试</x:v>
      </x:c>
    </x:row>
    <x:row r="87">
      <x:c r="A87" s="62" t="n">
        <x:v>83</x:v>
      </x:c>
      <x:c r="B87" s="63" t="n">
        <x:v>3</x:v>
      </x:c>
      <x:c r="C87" s="63" t="str">
        <x:v>ub+uJ</x:v>
      </x:c>
      <x:c r="D87" s="78" t="str">
        <x:v>典型组合/频率上限</x:v>
      </x:c>
      <x:c r="E87" s="66" t="n">
        <x:v>125</x:v>
      </x:c>
      <x:c r="F87" s="66" t="n">
        <x:v>100</x:v>
      </x:c>
      <x:c r="G87" s="67" t="n">
        <x:v>1</x:v>
      </x:c>
      <x:c r="H87" s="67" t="n">
        <x:v>5</x:v>
      </x:c>
      <x:c r="I87" s="66" t="n">
        <x:f>F87*H87</x:f>
        <x:v>500</x:v>
      </x:c>
      <x:c r="J87" s="68" t="n">
        <x:v>0.815</x:v>
      </x:c>
      <x:c r="K87" s="67" t="n">
        <x:v>135</x:v>
      </x:c>
      <x:c r="L87" s="67"/>
      <x:c r="M87" s="66" t="str">
        <x:f>IF(L87="","",F87*L87)</x:f>
      </x:c>
      <x:c r="N87" s="68"/>
      <x:c r="O87" s="67"/>
      <x:c r="P87" s="69" t="n">
        <x:v>3.4217122937312627</x:v>
      </x:c>
      <x:c r="Q87" s="70" t="n">
        <x:f>E87/P87</x:f>
        <x:v>36.53141739269133</x:v>
      </x:c>
      <x:c r="R87" s="70" t="n">
        <x:f>2*Q87</x:f>
        <x:v>73.06283478538266</x:v>
      </x:c>
      <x:c r="S87" s="70" t="n">
        <x:f>Q87*J87</x:f>
        <x:v>29.773105175043433</x:v>
      </x:c>
      <x:c r="T87" s="70" t="n">
        <x:f>2*S87</x:f>
        <x:v>59.54621035008687</x:v>
      </x:c>
      <x:c r="U87" s="70" t="str">
        <x:f>IF(G87=2,Q87*N87,"")</x:f>
      </x:c>
      <x:c r="V87" s="70" t="str">
        <x:f>IF(U87="","",2*U87)</x:f>
      </x:c>
      <x:c r="W87" s="70" t="n">
        <x:f>SQRT((Q87^2+S87^2+IF(U87="",0,U87^2))/2)</x:f>
        <x:v>33.32403223263377</x:v>
      </x:c>
      <x:c r="X87" s="71" t="n">
        <x:v>200</x:v>
      </x:c>
      <x:c r="Y87" s="71" t="n">
        <x:v>1</x:v>
      </x:c>
      <x:c r="Z87" s="80" t="str">
        <x:v>基波初相位0°；幅值按总Vpp归一化</x:v>
      </x:c>
    </x:row>
    <x:row r="88">
      <x:c r="A88" s="62" t="n">
        <x:v>84</x:v>
      </x:c>
      <x:c r="B88" s="63" t="n">
        <x:v>3</x:v>
      </x:c>
      <x:c r="C88" s="63" t="str">
        <x:v>ub+uJ</x:v>
      </x:c>
      <x:c r="D88" s="78" t="str">
        <x:v>典型组合/频率下限</x:v>
      </x:c>
      <x:c r="E88" s="66" t="n">
        <x:v>150</x:v>
      </x:c>
      <x:c r="F88" s="66" t="n">
        <x:v>10</x:v>
      </x:c>
      <x:c r="G88" s="67" t="n">
        <x:v>2</x:v>
      </x:c>
      <x:c r="H88" s="67" t="n">
        <x:v>2</x:v>
      </x:c>
      <x:c r="I88" s="66" t="n">
        <x:f>F88*H88</x:f>
        <x:v>20</x:v>
      </x:c>
      <x:c r="J88" s="68" t="n">
        <x:v>0.989</x:v>
      </x:c>
      <x:c r="K88" s="67" t="n">
        <x:v>180</x:v>
      </x:c>
      <x:c r="L88" s="67" t="n">
        <x:v>3</x:v>
      </x:c>
      <x:c r="M88" s="66" t="n">
        <x:f>IF(L88="","",F88*L88)</x:f>
        <x:v>30</x:v>
      </x:c>
      <x:c r="N88" s="68" t="n">
        <x:v>0.482</x:v>
      </x:c>
      <x:c r="O88" s="67" t="n">
        <x:v>30</x:v>
      </x:c>
      <x:c r="P88" s="69" t="n">
        <x:v>4.027235953991323</x:v>
      </x:c>
      <x:c r="Q88" s="70" t="n">
        <x:f>E88/P88</x:f>
        <x:v>37.2463897605348</x:v>
      </x:c>
      <x:c r="R88" s="70" t="n">
        <x:f>2*Q88</x:f>
        <x:v>74.4927795210696</x:v>
      </x:c>
      <x:c r="S88" s="70" t="n">
        <x:f>Q88*J88</x:f>
        <x:v>36.836679473168914</x:v>
      </x:c>
      <x:c r="T88" s="70" t="n">
        <x:f>2*S88</x:f>
        <x:v>73.67335894633783</x:v>
      </x:c>
      <x:c r="U88" s="70" t="n">
        <x:f>IF(G88=2,Q88*N88,"")</x:f>
        <x:v>17.95275986457777</x:v>
      </x:c>
      <x:c r="V88" s="70" t="n">
        <x:f>IF(U88="","",2*U88)</x:f>
        <x:v>35.90551972915554</x:v>
      </x:c>
      <x:c r="W88" s="70" t="n">
        <x:f>SQRT((Q88^2+S88^2+IF(U88="",0,U88^2))/2)</x:f>
        <x:v>39.156966759172306</x:v>
      </x:c>
      <x:c r="X88" s="71" t="n">
        <x:v>200</x:v>
      </x:c>
      <x:c r="Y88" s="71" t="n">
        <x:v>1.05</x:v>
      </x:c>
      <x:c r="Z88" s="80" t="str">
        <x:v>基波初相位0°；幅值按总Vpp归一化</x:v>
      </x:c>
    </x:row>
    <x:row r="89">
      <x:c r="A89" s="62" t="n">
        <x:v>85</x:v>
      </x:c>
      <x:c r="B89" s="63" t="n">
        <x:v>3</x:v>
      </x:c>
      <x:c r="C89" s="63" t="str">
        <x:v>ub+uJ</x:v>
      </x:c>
      <x:c r="D89" s="78" t="str">
        <x:v>典型组合/弱谐波</x:v>
      </x:c>
      <x:c r="E89" s="66" t="n">
        <x:v>175</x:v>
      </x:c>
      <x:c r="F89" s="66" t="n">
        <x:v>33</x:v>
      </x:c>
      <x:c r="G89" s="67" t="n">
        <x:v>2</x:v>
      </x:c>
      <x:c r="H89" s="67" t="n">
        <x:v>2</x:v>
      </x:c>
      <x:c r="I89" s="66" t="n">
        <x:f>F89*H89</x:f>
        <x:v>66</x:v>
      </x:c>
      <x:c r="J89" s="68" t="n">
        <x:v>0.257</x:v>
      </x:c>
      <x:c r="K89" s="67" t="n">
        <x:v>270</x:v>
      </x:c>
      <x:c r="L89" s="67" t="n">
        <x:v>4</x:v>
      </x:c>
      <x:c r="M89" s="66" t="n">
        <x:f>IF(L89="","",F89*L89)</x:f>
        <x:v>132</x:v>
      </x:c>
      <x:c r="N89" s="68" t="n">
        <x:v>0.147</x:v>
      </x:c>
      <x:c r="O89" s="67" t="n">
        <x:v>60</x:v>
      </x:c>
      <x:c r="P89" s="69" t="n">
        <x:v>2.2707399688601186</x:v>
      </x:c>
      <x:c r="Q89" s="70" t="n">
        <x:f>E89/P89</x:f>
        <x:v>77.06738878069235</x:v>
      </x:c>
      <x:c r="R89" s="70" t="n">
        <x:f>2*Q89</x:f>
        <x:v>154.1347775613847</x:v>
      </x:c>
      <x:c r="S89" s="70" t="n">
        <x:f>Q89*J89</x:f>
        <x:v>19.806318916637935</x:v>
      </x:c>
      <x:c r="T89" s="70" t="n">
        <x:f>2*S89</x:f>
        <x:v>39.61263783327587</x:v>
      </x:c>
      <x:c r="U89" s="70" t="n">
        <x:f>IF(G89=2,Q89*N89,"")</x:f>
        <x:v>11.328906150761776</x:v>
      </x:c>
      <x:c r="V89" s="70" t="n">
        <x:f>IF(U89="","",2*U89)</x:f>
        <x:v>22.657812301523553</x:v>
      </x:c>
      <x:c r="W89" s="70" t="n">
        <x:f>SQRT((Q89^2+S89^2+IF(U89="",0,U89^2))/2)</x:f>
        <x:v>56.83316284122644</x:v>
      </x:c>
      <x:c r="X89" s="71" t="n">
        <x:v>200</x:v>
      </x:c>
      <x:c r="Y89" s="71" t="n">
        <x:v>1.2</x:v>
      </x:c>
      <x:c r="Z89" s="80" t="str">
        <x:v>基波初相位0°；幅值按总Vpp归一化</x:v>
      </x:c>
    </x:row>
    <x:row r="90">
      <x:c r="A90" s="62" t="n">
        <x:v>86</x:v>
      </x:c>
      <x:c r="B90" s="63" t="n">
        <x:v>3</x:v>
      </x:c>
      <x:c r="C90" s="63" t="str">
        <x:v>ub+uJ</x:v>
      </x:c>
      <x:c r="D90" s="78" t="str">
        <x:v>典型组合/弱谐波</x:v>
      </x:c>
      <x:c r="E90" s="66" t="n">
        <x:v>200</x:v>
      </x:c>
      <x:c r="F90" s="66" t="n">
        <x:v>50.5</x:v>
      </x:c>
      <x:c r="G90" s="67" t="n">
        <x:v>2</x:v>
      </x:c>
      <x:c r="H90" s="67" t="n">
        <x:v>3</x:v>
      </x:c>
      <x:c r="I90" s="66" t="n">
        <x:f>F90*H90</x:f>
        <x:v>151.5</x:v>
      </x:c>
      <x:c r="J90" s="68" t="n">
        <x:v>0.413</x:v>
      </x:c>
      <x:c r="K90" s="67" t="n">
        <x:v>0</x:v>
      </x:c>
      <x:c r="L90" s="67" t="n">
        <x:v>4</x:v>
      </x:c>
      <x:c r="M90" s="66" t="n">
        <x:f>IF(L90="","",F90*L90)</x:f>
        <x:v>202</x:v>
      </x:c>
      <x:c r="N90" s="68" t="n">
        <x:v>0.193</x:v>
      </x:c>
      <x:c r="O90" s="67" t="n">
        <x:v>120</x:v>
      </x:c>
      <x:c r="P90" s="69" t="n">
        <x:v>2.104606161474946</x:v>
      </x:c>
      <x:c r="Q90" s="70" t="n">
        <x:f>E90/P90</x:f>
        <x:v>95.02965621835698</x:v>
      </x:c>
      <x:c r="R90" s="70" t="n">
        <x:f>2*Q90</x:f>
        <x:v>190.05931243671395</x:v>
      </x:c>
      <x:c r="S90" s="70" t="n">
        <x:f>Q90*J90</x:f>
        <x:v>39.24724801818143</x:v>
      </x:c>
      <x:c r="T90" s="70" t="n">
        <x:f>2*S90</x:f>
        <x:v>78.49449603636286</x:v>
      </x:c>
      <x:c r="U90" s="70" t="n">
        <x:f>IF(G90=2,Q90*N90,"")</x:f>
        <x:v>18.3407236501429</x:v>
      </x:c>
      <x:c r="V90" s="70" t="n">
        <x:f>IF(U90="","",2*U90)</x:f>
        <x:v>36.6814473002858</x:v>
      </x:c>
      <x:c r="W90" s="70" t="n">
        <x:f>SQRT((Q90^2+S90^2+IF(U90="",0,U90^2))/2)</x:f>
        <x:v>73.8490493574246</x:v>
      </x:c>
      <x:c r="X90" s="71" t="n">
        <x:v>200</x:v>
      </x:c>
      <x:c r="Y90" s="71" t="n">
        <x:v>1.5</x:v>
      </x:c>
      <x:c r="Z90" s="80" t="str">
        <x:v>基波初相位0°；幅值按总Vpp归一化</x:v>
      </x:c>
    </x:row>
    <x:row r="91">
      <x:c r="A91" s="62" t="n">
        <x:v>87</x:v>
      </x:c>
      <x:c r="B91" s="63" t="n">
        <x:v>3</x:v>
      </x:c>
      <x:c r="C91" s="63" t="str">
        <x:v>ub+uJ</x:v>
      </x:c>
      <x:c r="D91" s="78" t="str">
        <x:v>典型组合</x:v>
      </x:c>
      <x:c r="E91" s="66" t="n">
        <x:v>225</x:v>
      </x:c>
      <x:c r="F91" s="66" t="n">
        <x:v>55</x:v>
      </x:c>
      <x:c r="G91" s="67" t="n">
        <x:v>2</x:v>
      </x:c>
      <x:c r="H91" s="67" t="n">
        <x:v>3</x:v>
      </x:c>
      <x:c r="I91" s="66" t="n">
        <x:f>F91*H91</x:f>
        <x:v>165</x:v>
      </x:c>
      <x:c r="J91" s="68" t="n">
        <x:v>0.494</x:v>
      </x:c>
      <x:c r="K91" s="67" t="n">
        <x:v>45</x:v>
      </x:c>
      <x:c r="L91" s="67" t="n">
        <x:v>5</x:v>
      </x:c>
      <x:c r="M91" s="66" t="n">
        <x:f>IF(L91="","",F91*L91)</x:f>
        <x:v>275</x:v>
      </x:c>
      <x:c r="N91" s="68" t="n">
        <x:v>0.31</x:v>
      </x:c>
      <x:c r="O91" s="67" t="n">
        <x:v>180</x:v>
      </x:c>
      <x:c r="P91" s="69" t="n">
        <x:v>3.1189253384222804</x:v>
      </x:c>
      <x:c r="Q91" s="70" t="n">
        <x:f>E91/P91</x:f>
        <x:v>72.14023280012758</x:v>
      </x:c>
      <x:c r="R91" s="70" t="n">
        <x:f>2*Q91</x:f>
        <x:v>144.28046560025516</x:v>
      </x:c>
      <x:c r="S91" s="70" t="n">
        <x:f>Q91*J91</x:f>
        <x:v>35.63727500326302</x:v>
      </x:c>
      <x:c r="T91" s="70" t="n">
        <x:f>2*S91</x:f>
        <x:v>71.27455000652604</x:v>
      </x:c>
      <x:c r="U91" s="70" t="n">
        <x:f>IF(G91=2,Q91*N91,"")</x:f>
        <x:v>22.36347216803955</x:v>
      </x:c>
      <x:c r="V91" s="70" t="n">
        <x:f>IF(U91="","",2*U91)</x:f>
        <x:v>44.7269443360791</x:v>
      </x:c>
      <x:c r="W91" s="70" t="n">
        <x:f>SQRT((Q91^2+S91^2+IF(U91="",0,U91^2))/2)</x:f>
        <x:v>59.05232190831059</x:v>
      </x:c>
      <x:c r="X91" s="71" t="n">
        <x:v>200</x:v>
      </x:c>
      <x:c r="Y91" s="71" t="n">
        <x:v>2</x:v>
      </x:c>
      <x:c r="Z91" s="80" t="str">
        <x:v>基波初相位0°；幅值按总Vpp归一化</x:v>
      </x:c>
    </x:row>
    <x:row r="92">
      <x:c r="A92" s="62" t="n">
        <x:v>88</x:v>
      </x:c>
      <x:c r="B92" s="63" t="n">
        <x:v>3</x:v>
      </x:c>
      <x:c r="C92" s="63" t="str">
        <x:v>ub+uJ</x:v>
      </x:c>
      <x:c r="D92" s="78" t="str">
        <x:v>典型组合</x:v>
      </x:c>
      <x:c r="E92" s="66" t="n">
        <x:v>240</x:v>
      </x:c>
      <x:c r="F92" s="66" t="n">
        <x:v>68.5</x:v>
      </x:c>
      <x:c r="G92" s="67" t="n">
        <x:v>2</x:v>
      </x:c>
      <x:c r="H92" s="67" t="n">
        <x:v>4</x:v>
      </x:c>
      <x:c r="I92" s="66" t="n">
        <x:f>F92*H92</x:f>
        <x:v>274</x:v>
      </x:c>
      <x:c r="J92" s="68" t="n">
        <x:v>0.762</x:v>
      </x:c>
      <x:c r="K92" s="67" t="n">
        <x:v>90</x:v>
      </x:c>
      <x:c r="L92" s="67" t="n">
        <x:v>5</x:v>
      </x:c>
      <x:c r="M92" s="66" t="n">
        <x:f>IF(L92="","",F92*L92)</x:f>
        <x:v>342.5</x:v>
      </x:c>
      <x:c r="N92" s="68" t="n">
        <x:v>0.418</x:v>
      </x:c>
      <x:c r="O92" s="67" t="n">
        <x:v>240</x:v>
      </x:c>
      <x:c r="P92" s="69" t="n">
        <x:v>3.585995032740903</x:v>
      </x:c>
      <x:c r="Q92" s="70" t="n">
        <x:f>E92/P92</x:f>
        <x:v>66.92703079863429</x:v>
      </x:c>
      <x:c r="R92" s="70" t="n">
        <x:f>2*Q92</x:f>
        <x:v>133.85406159726858</x:v>
      </x:c>
      <x:c r="S92" s="70" t="n">
        <x:f>Q92*J92</x:f>
        <x:v>50.99839746855933</x:v>
      </x:c>
      <x:c r="T92" s="70" t="n">
        <x:f>2*S92</x:f>
        <x:v>101.99679493711866</x:v>
      </x:c>
      <x:c r="U92" s="70" t="n">
        <x:f>IF(G92=2,Q92*N92,"")</x:f>
        <x:v>27.97549887382913</x:v>
      </x:c>
      <x:c r="V92" s="70" t="n">
        <x:f>IF(U92="","",2*U92)</x:f>
        <x:v>55.95099774765826</x:v>
      </x:c>
      <x:c r="W92" s="70" t="n">
        <x:f>SQRT((Q92^2+S92^2+IF(U92="",0,U92^2))/2)</x:f>
        <x:v>62.70044869505367</x:v>
      </x:c>
      <x:c r="X92" s="71" t="n">
        <x:v>200</x:v>
      </x:c>
      <x:c r="Y92" s="71" t="n">
        <x:v>2.5</x:v>
      </x:c>
      <x:c r="Z92" s="80" t="str">
        <x:v>基波初相位0°；幅值按总Vpp归一化</x:v>
      </x:c>
    </x:row>
    <x:row r="93">
      <x:c r="A93" s="62" t="n">
        <x:v>89</x:v>
      </x:c>
      <x:c r="B93" s="63" t="n">
        <x:v>3</x:v>
      </x:c>
      <x:c r="C93" s="63" t="str">
        <x:v>ub+uJ</x:v>
      </x:c>
      <x:c r="D93" s="78" t="str">
        <x:v>幅值边界</x:v>
      </x:c>
      <x:c r="E93" s="66" t="n">
        <x:v>250</x:v>
      </x:c>
      <x:c r="F93" s="66" t="n">
        <x:v>202</x:v>
      </x:c>
      <x:c r="G93" s="67" t="n">
        <x:v>1</x:v>
      </x:c>
      <x:c r="H93" s="67" t="n">
        <x:v>2</x:v>
      </x:c>
      <x:c r="I93" s="66" t="n">
        <x:f>F93*H93</x:f>
        <x:v>404</x:v>
      </x:c>
      <x:c r="J93" s="68" t="n">
        <x:v>1.001</x:v>
      </x:c>
      <x:c r="K93" s="67" t="n">
        <x:v>135</x:v>
      </x:c>
      <x:c r="L93" s="67"/>
      <x:c r="M93" s="66" t="str">
        <x:f>IF(L93="","",F93*L93)</x:f>
      </x:c>
      <x:c r="N93" s="68"/>
      <x:c r="O93" s="67"/>
      <x:c r="P93" s="69" t="n">
        <x:v>3.4206110144045314</x:v>
      </x:c>
      <x:c r="Q93" s="70" t="n">
        <x:f>E93/P93</x:f>
        <x:v>73.08635765575953</x:v>
      </x:c>
      <x:c r="R93" s="70" t="n">
        <x:f>2*Q93</x:f>
        <x:v>146.17271531151906</x:v>
      </x:c>
      <x:c r="S93" s="70" t="n">
        <x:f>Q93*J93</x:f>
        <x:v>73.15944401341528</x:v>
      </x:c>
      <x:c r="T93" s="70" t="n">
        <x:f>2*S93</x:f>
        <x:v>146.31888802683056</x:v>
      </x:c>
      <x:c r="U93" s="70" t="str">
        <x:f>IF(G93=2,Q93*N93,"")</x:f>
      </x:c>
      <x:c r="V93" s="70" t="str">
        <x:f>IF(U93="","",2*U93)</x:f>
      </x:c>
      <x:c r="W93" s="70" t="n">
        <x:f>SQRT((Q93^2+S93^2+IF(U93="",0,U93^2))/2)</x:f>
        <x:v>73.12290996581594</x:v>
      </x:c>
      <x:c r="X93" s="71" t="n">
        <x:v>200</x:v>
      </x:c>
      <x:c r="Y93" s="71" t="n">
        <x:v>3</x:v>
      </x:c>
      <x:c r="Z93" s="80" t="str">
        <x:v>基波初相位0°；幅值按总Vpp归一化</x:v>
      </x:c>
    </x:row>
    <x:row r="94">
      <x:c r="A94" s="62" t="n">
        <x:v>90</x:v>
      </x:c>
      <x:c r="B94" s="63" t="n">
        <x:v>3</x:v>
      </x:c>
      <x:c r="C94" s="63" t="str">
        <x:v>ub+uJ</x:v>
      </x:c>
      <x:c r="D94" s="78" t="str">
        <x:v>幅值边界</x:v>
      </x:c>
      <x:c r="E94" s="66" t="n">
        <x:v>50</x:v>
      </x:c>
      <x:c r="F94" s="66" t="n">
        <x:v>159</x:v>
      </x:c>
      <x:c r="G94" s="67" t="n">
        <x:v>1</x:v>
      </x:c>
      <x:c r="H94" s="67" t="n">
        <x:v>3</x:v>
      </x:c>
      <x:c r="I94" s="66" t="n">
        <x:f>F94*H94</x:f>
        <x:v>477</x:v>
      </x:c>
      <x:c r="J94" s="68" t="n">
        <x:v>0.254</x:v>
      </x:c>
      <x:c r="K94" s="67" t="n">
        <x:v>180</x:v>
      </x:c>
      <x:c r="L94" s="67"/>
      <x:c r="M94" s="66" t="str">
        <x:f>IF(L94="","",F94*L94)</x:f>
      </x:c>
      <x:c r="N94" s="68"/>
      <x:c r="O94" s="67"/>
      <x:c r="P94" s="69" t="n">
        <x:v>2.508</x:v>
      </x:c>
      <x:c r="Q94" s="70" t="n">
        <x:f>E94/P94</x:f>
        <x:v>19.93620414673046</x:v>
      </x:c>
      <x:c r="R94" s="70" t="n">
        <x:f>2*Q94</x:f>
        <x:v>39.87240829346092</x:v>
      </x:c>
      <x:c r="S94" s="70" t="n">
        <x:f>Q94*J94</x:f>
        <x:v>5.0637958532695375</x:v>
      </x:c>
      <x:c r="T94" s="70" t="n">
        <x:f>2*S94</x:f>
        <x:v>10.127591706539075</x:v>
      </x:c>
      <x:c r="U94" s="70" t="str">
        <x:f>IF(G94=2,Q94*N94,"")</x:f>
      </x:c>
      <x:c r="V94" s="70" t="str">
        <x:f>IF(U94="","",2*U94)</x:f>
      </x:c>
      <x:c r="W94" s="70" t="n">
        <x:f>SQRT((Q94^2+S94^2+IF(U94="",0,U94^2))/2)</x:f>
        <x:v>14.544659917366625</x:v>
      </x:c>
      <x:c r="X94" s="71" t="n">
        <x:v>200</x:v>
      </x:c>
      <x:c r="Y94" s="71" t="n">
        <x:v>3.5</x:v>
      </x:c>
      <x:c r="Z94" s="80" t="str">
        <x:v>基波初相位0°；幅值按总Vpp归一化</x:v>
      </x:c>
    </x:row>
    <x:row r="95">
      <x:c r="A95" s="62" t="n">
        <x:v>91</x:v>
      </x:c>
      <x:c r="B95" s="63" t="n">
        <x:v>3</x:v>
      </x:c>
      <x:c r="C95" s="63" t="str">
        <x:v>ub+uJ</x:v>
      </x:c>
      <x:c r="D95" s="78" t="str">
        <x:v>典型组合/频率上限</x:v>
      </x:c>
      <x:c r="E95" s="66" t="n">
        <x:v>60</x:v>
      </x:c>
      <x:c r="F95" s="66" t="n">
        <x:v>125</x:v>
      </x:c>
      <x:c r="G95" s="67" t="n">
        <x:v>1</x:v>
      </x:c>
      <x:c r="H95" s="67" t="n">
        <x:v>4</x:v>
      </x:c>
      <x:c r="I95" s="66" t="n">
        <x:f>F95*H95</x:f>
        <x:v>500</x:v>
      </x:c>
      <x:c r="J95" s="68" t="n">
        <x:v>0.385</x:v>
      </x:c>
      <x:c r="K95" s="67" t="n">
        <x:v>270</x:v>
      </x:c>
      <x:c r="L95" s="67"/>
      <x:c r="M95" s="66" t="str">
        <x:f>IF(L95="","",F95*L95)</x:f>
      </x:c>
      <x:c r="N95" s="68"/>
      <x:c r="O95" s="67"/>
      <x:c r="P95" s="69" t="n">
        <x:v>2.513861640210494</x:v>
      </x:c>
      <x:c r="Q95" s="70" t="n">
        <x:f>E95/P95</x:f>
        <x:v>23.86766202255109</x:v>
      </x:c>
      <x:c r="R95" s="70" t="n">
        <x:f>2*Q95</x:f>
        <x:v>47.73532404510218</x:v>
      </x:c>
      <x:c r="S95" s="70" t="n">
        <x:f>Q95*J95</x:f>
        <x:v>9.18904987868217</x:v>
      </x:c>
      <x:c r="T95" s="70" t="n">
        <x:f>2*S95</x:f>
        <x:v>18.37809975736434</x:v>
      </x:c>
      <x:c r="U95" s="70" t="str">
        <x:f>IF(G95=2,Q95*N95,"")</x:f>
      </x:c>
      <x:c r="V95" s="70" t="str">
        <x:f>IF(U95="","",2*U95)</x:f>
      </x:c>
      <x:c r="W95" s="70" t="n">
        <x:f>SQRT((Q95^2+S95^2+IF(U95="",0,U95^2))/2)</x:f>
        <x:v>18.084578072153583</x:v>
      </x:c>
      <x:c r="X95" s="71" t="n">
        <x:v>200</x:v>
      </x:c>
      <x:c r="Y95" s="71" t="n">
        <x:v>4</x:v>
      </x:c>
      <x:c r="Z95" s="80" t="str">
        <x:v>基波初相位0°；幅值按总Vpp归一化</x:v>
      </x:c>
    </x:row>
    <x:row r="96">
      <x:c r="A96" s="62" t="n">
        <x:v>92</x:v>
      </x:c>
      <x:c r="B96" s="63" t="n">
        <x:v>3</x:v>
      </x:c>
      <x:c r="C96" s="63" t="str">
        <x:v>ub+uJ</x:v>
      </x:c>
      <x:c r="D96" s="78" t="str">
        <x:v>典型组合/频率下限/混叠压力</x:v>
      </x:c>
      <x:c r="E96" s="66" t="n">
        <x:v>75</x:v>
      </x:c>
      <x:c r="F96" s="66" t="n">
        <x:v>10</x:v>
      </x:c>
      <x:c r="G96" s="67" t="n">
        <x:v>1</x:v>
      </x:c>
      <x:c r="H96" s="67" t="n">
        <x:v>5</x:v>
      </x:c>
      <x:c r="I96" s="66" t="n">
        <x:f>F96*H96</x:f>
        <x:v>50</x:v>
      </x:c>
      <x:c r="J96" s="68" t="n">
        <x:v>0.617</x:v>
      </x:c>
      <x:c r="K96" s="67" t="n">
        <x:v>0</x:v>
      </x:c>
      <x:c r="L96" s="67"/>
      <x:c r="M96" s="66" t="str">
        <x:f>IF(L96="","",F96*L96)</x:f>
      </x:c>
      <x:c r="N96" s="68"/>
      <x:c r="O96" s="67"/>
      <x:c r="P96" s="69" t="n">
        <x:v>3.234</x:v>
      </x:c>
      <x:c r="Q96" s="70" t="n">
        <x:f>E96/P96</x:f>
        <x:v>23.19109461966605</x:v>
      </x:c>
      <x:c r="R96" s="70" t="n">
        <x:f>2*Q96</x:f>
        <x:v>46.3821892393321</x:v>
      </x:c>
      <x:c r="S96" s="70" t="n">
        <x:f>Q96*J96</x:f>
        <x:v>14.308905380333952</x:v>
      </x:c>
      <x:c r="T96" s="70" t="n">
        <x:f>2*S96</x:f>
        <x:v>28.617810760667904</x:v>
      </x:c>
      <x:c r="U96" s="70" t="str">
        <x:f>IF(G96=2,Q96*N96,"")</x:f>
      </x:c>
      <x:c r="V96" s="70" t="str">
        <x:f>IF(U96="","",2*U96)</x:f>
      </x:c>
      <x:c r="W96" s="70" t="n">
        <x:f>SQRT((Q96^2+S96^2+IF(U96="",0,U96^2))/2)</x:f>
        <x:v>19.268778410185394</x:v>
      </x:c>
      <x:c r="X96" s="71" t="n">
        <x:v>200</x:v>
      </x:c>
      <x:c r="Y96" s="71" t="n">
        <x:v>4.5</x:v>
      </x:c>
      <x:c r="Z96" s="80" t="str">
        <x:v>8MSPS下需关注干扰混叠；用于压力测试</x:v>
      </x:c>
    </x:row>
    <x:row r="97">
      <x:c r="A97" s="62" t="n">
        <x:v>93</x:v>
      </x:c>
      <x:c r="B97" s="63" t="n">
        <x:v>3</x:v>
      </x:c>
      <x:c r="C97" s="63" t="str">
        <x:v>ub+uJ</x:v>
      </x:c>
      <x:c r="D97" s="78" t="str">
        <x:v>典型组合/混叠压力</x:v>
      </x:c>
      <x:c r="E97" s="66" t="n">
        <x:v>100</x:v>
      </x:c>
      <x:c r="F97" s="66" t="n">
        <x:v>41.5</x:v>
      </x:c>
      <x:c r="G97" s="67" t="n">
        <x:v>2</x:v>
      </x:c>
      <x:c r="H97" s="67" t="n">
        <x:v>2</x:v>
      </x:c>
      <x:c r="I97" s="66" t="n">
        <x:f>F97*H97</x:f>
        <x:v>83</x:v>
      </x:c>
      <x:c r="J97" s="68" t="n">
        <x:v>0.756</x:v>
      </x:c>
      <x:c r="K97" s="67" t="n">
        <x:v>45</x:v>
      </x:c>
      <x:c r="L97" s="67" t="n">
        <x:v>3</x:v>
      </x:c>
      <x:c r="M97" s="66" t="n">
        <x:f>IF(L97="","",F97*L97)</x:f>
        <x:v>124.5</x:v>
      </x:c>
      <x:c r="N97" s="68" t="n">
        <x:v>0.402</x:v>
      </x:c>
      <x:c r="O97" s="67" t="n">
        <x:v>180</x:v>
      </x:c>
      <x:c r="P97" s="69" t="n">
        <x:v>3.097264078762781</x:v>
      </x:c>
      <x:c r="Q97" s="70" t="n">
        <x:f>E97/P97</x:f>
        <x:v>32.28655918805139</x:v>
      </x:c>
      <x:c r="R97" s="70" t="n">
        <x:f>2*Q97</x:f>
        <x:v>64.57311837610278</x:v>
      </x:c>
      <x:c r="S97" s="70" t="n">
        <x:f>Q97*J97</x:f>
        <x:v>24.40863874616685</x:v>
      </x:c>
      <x:c r="T97" s="70" t="n">
        <x:f>2*S97</x:f>
        <x:v>48.8172774923337</x:v>
      </x:c>
      <x:c r="U97" s="70" t="n">
        <x:f>IF(G97=2,Q97*N97,"")</x:f>
        <x:v>12.97919679359666</x:v>
      </x:c>
      <x:c r="V97" s="70" t="n">
        <x:f>IF(U97="","",2*U97)</x:f>
        <x:v>25.95839358719332</x:v>
      </x:c>
      <x:c r="W97" s="70" t="n">
        <x:f>SQRT((Q97^2+S97^2+IF(U97="",0,U97^2))/2)</x:f>
        <x:v>30.05547453502717</x:v>
      </x:c>
      <x:c r="X97" s="71" t="n">
        <x:v>200</x:v>
      </x:c>
      <x:c r="Y97" s="71" t="n">
        <x:v>5</x:v>
      </x:c>
      <x:c r="Z97" s="80" t="str">
        <x:v>8MSPS下需关注干扰混叠；用于压力测试</x:v>
      </x:c>
    </x:row>
    <x:row r="98">
      <x:c r="A98" s="62" t="n">
        <x:v>94</x:v>
      </x:c>
      <x:c r="B98" s="63" t="n">
        <x:v>3</x:v>
      </x:c>
      <x:c r="C98" s="63" t="str">
        <x:v>ub+uJ</x:v>
      </x:c>
      <x:c r="D98" s="78" t="str">
        <x:v>典型组合/混叠压力</x:v>
      </x:c>
      <x:c r="E98" s="66" t="n">
        <x:v>125</x:v>
      </x:c>
      <x:c r="F98" s="66" t="n">
        <x:v>50.5</x:v>
      </x:c>
      <x:c r="G98" s="67" t="n">
        <x:v>2</x:v>
      </x:c>
      <x:c r="H98" s="67" t="n">
        <x:v>2</x:v>
      </x:c>
      <x:c r="I98" s="66" t="n">
        <x:f>F98*H98</x:f>
        <x:v>101</x:v>
      </x:c>
      <x:c r="J98" s="68" t="n">
        <x:v>0.986</x:v>
      </x:c>
      <x:c r="K98" s="67" t="n">
        <x:v>90</x:v>
      </x:c>
      <x:c r="L98" s="67" t="n">
        <x:v>4</x:v>
      </x:c>
      <x:c r="M98" s="66" t="n">
        <x:f>IF(L98="","",F98*L98)</x:f>
        <x:v>202</x:v>
      </x:c>
      <x:c r="N98" s="68" t="n">
        <x:v>0.48</x:v>
      </x:c>
      <x:c r="O98" s="67" t="n">
        <x:v>240</x:v>
      </x:c>
      <x:c r="P98" s="69" t="n">
        <x:v>3.84974987069192</x:v>
      </x:c>
      <x:c r="Q98" s="70" t="n">
        <x:f>E98/P98</x:f>
        <x:v>32.469641976384715</x:v>
      </x:c>
      <x:c r="R98" s="70" t="n">
        <x:f>2*Q98</x:f>
        <x:v>64.93928395276943</x:v>
      </x:c>
      <x:c r="S98" s="70" t="n">
        <x:f>Q98*J98</x:f>
        <x:v>32.015066988715326</x:v>
      </x:c>
      <x:c r="T98" s="70" t="n">
        <x:f>2*S98</x:f>
        <x:v>64.03013397743065</x:v>
      </x:c>
      <x:c r="U98" s="70" t="n">
        <x:f>IF(G98=2,Q98*N98,"")</x:f>
        <x:v>15.585428148664663</x:v>
      </x:c>
      <x:c r="V98" s="70" t="n">
        <x:f>IF(U98="","",2*U98)</x:f>
        <x:v>31.170856297329326</x:v>
      </x:c>
      <x:c r="W98" s="70" t="n">
        <x:f>SQRT((Q98^2+S98^2+IF(U98="",0,U98^2))/2)</x:f>
        <x:v>34.074534002270106</x:v>
      </x:c>
      <x:c r="X98" s="71" t="n">
        <x:v>200</x:v>
      </x:c>
      <x:c r="Y98" s="71" t="n">
        <x:v>6</x:v>
      </x:c>
      <x:c r="Z98" s="80" t="str">
        <x:v>8MSPS下需关注干扰混叠；用于压力测试</x:v>
      </x:c>
    </x:row>
    <x:row r="99">
      <x:c r="A99" s="62" t="n">
        <x:v>95</x:v>
      </x:c>
      <x:c r="B99" s="63" t="n">
        <x:v>3</x:v>
      </x:c>
      <x:c r="C99" s="63" t="str">
        <x:v>ub+uJ</x:v>
      </x:c>
      <x:c r="D99" s="78" t="str">
        <x:v>典型组合/弱谐波/混叠压力</x:v>
      </x:c>
      <x:c r="E99" s="66" t="n">
        <x:v>150</x:v>
      </x:c>
      <x:c r="F99" s="66" t="n">
        <x:v>67.5</x:v>
      </x:c>
      <x:c r="G99" s="67" t="n">
        <x:v>2</x:v>
      </x:c>
      <x:c r="H99" s="67" t="n">
        <x:v>3</x:v>
      </x:c>
      <x:c r="I99" s="66" t="n">
        <x:f>F99*H99</x:f>
        <x:v>202.5</x:v>
      </x:c>
      <x:c r="J99" s="68" t="n">
        <x:v>0.261</x:v>
      </x:c>
      <x:c r="K99" s="67" t="n">
        <x:v>135</x:v>
      </x:c>
      <x:c r="L99" s="67" t="n">
        <x:v>4</x:v>
      </x:c>
      <x:c r="M99" s="66" t="n">
        <x:f>IF(L99="","",F99*L99)</x:f>
        <x:v>270</x:v>
      </x:c>
      <x:c r="N99" s="68" t="n">
        <x:v>0.144</x:v>
      </x:c>
      <x:c r="O99" s="67" t="n">
        <x:v>0</x:v>
      </x:c>
      <x:c r="P99" s="69" t="n">
        <x:v>2.536361741426871</x:v>
      </x:c>
      <x:c r="Q99" s="70" t="n">
        <x:f>E99/P99</x:f>
        <x:v>59.13982913005741</x:v>
      </x:c>
      <x:c r="R99" s="70" t="n">
        <x:f>2*Q99</x:f>
        <x:v>118.27965826011481</x:v>
      </x:c>
      <x:c r="S99" s="70" t="n">
        <x:f>Q99*J99</x:f>
        <x:v>15.435495402944984</x:v>
      </x:c>
      <x:c r="T99" s="70" t="n">
        <x:f>2*S99</x:f>
        <x:v>30.870990805889967</x:v>
      </x:c>
      <x:c r="U99" s="70" t="n">
        <x:f>IF(G99=2,Q99*N99,"")</x:f>
        <x:v>8.516135394728266</x:v>
      </x:c>
      <x:c r="V99" s="70" t="n">
        <x:f>IF(U99="","",2*U99)</x:f>
        <x:v>17.032270789456533</x:v>
      </x:c>
      <x:c r="W99" s="70" t="n">
        <x:f>SQRT((Q99^2+S99^2+IF(U99="",0,U99^2))/2)</x:f>
        <x:v>43.636558468376414</x:v>
      </x:c>
      <x:c r="X99" s="71" t="n">
        <x:v>200</x:v>
      </x:c>
      <x:c r="Y99" s="71" t="n">
        <x:v>7</x:v>
      </x:c>
      <x:c r="Z99" s="80" t="str">
        <x:v>8MSPS下需关注干扰混叠；用于压力测试</x:v>
      </x:c>
    </x:row>
    <x:row r="100">
      <x:c r="A100" s="62" t="n">
        <x:v>96</x:v>
      </x:c>
      <x:c r="B100" s="63" t="n">
        <x:v>3</x:v>
      </x:c>
      <x:c r="C100" s="63" t="str">
        <x:v>ub+uJ</x:v>
      </x:c>
      <x:c r="D100" s="78" t="str">
        <x:v>典型组合/弱谐波/混叠压力</x:v>
      </x:c>
      <x:c r="E100" s="66" t="n">
        <x:v>175</x:v>
      </x:c>
      <x:c r="F100" s="66" t="n">
        <x:v>68.5</x:v>
      </x:c>
      <x:c r="G100" s="67" t="n">
        <x:v>2</x:v>
      </x:c>
      <x:c r="H100" s="67" t="n">
        <x:v>3</x:v>
      </x:c>
      <x:c r="I100" s="66" t="n">
        <x:f>F100*H100</x:f>
        <x:v>205.5</x:v>
      </x:c>
      <x:c r="J100" s="68" t="n">
        <x:v>0.409</x:v>
      </x:c>
      <x:c r="K100" s="67" t="n">
        <x:v>180</x:v>
      </x:c>
      <x:c r="L100" s="67" t="n">
        <x:v>5</x:v>
      </x:c>
      <x:c r="M100" s="66" t="n">
        <x:f>IF(L100="","",F100*L100)</x:f>
        <x:v>342.5</x:v>
      </x:c>
      <x:c r="N100" s="68" t="n">
        <x:v>0.206</x:v>
      </x:c>
      <x:c r="O100" s="67" t="n">
        <x:v>30</x:v>
      </x:c>
      <x:c r="P100" s="69" t="n">
        <x:v>3.203201308409689</x:v>
      </x:c>
      <x:c r="Q100" s="70" t="n">
        <x:f>E100/P100</x:f>
        <x:v>54.632844817013144</x:v>
      </x:c>
      <x:c r="R100" s="70" t="n">
        <x:f>2*Q100</x:f>
        <x:v>109.26568963402629</x:v>
      </x:c>
      <x:c r="S100" s="70" t="n">
        <x:f>Q100*J100</x:f>
        <x:v>22.344833530158375</x:v>
      </x:c>
      <x:c r="T100" s="70" t="n">
        <x:f>2*S100</x:f>
        <x:v>44.68966706031675</x:v>
      </x:c>
      <x:c r="U100" s="70" t="n">
        <x:f>IF(G100=2,Q100*N100,"")</x:f>
        <x:v>11.254366032304707</x:v>
      </x:c>
      <x:c r="V100" s="70" t="n">
        <x:f>IF(U100="","",2*U100)</x:f>
        <x:v>22.508732064609415</x:v>
      </x:c>
      <x:c r="W100" s="70" t="n">
        <x:f>SQRT((Q100^2+S100^2+IF(U100="",0,U100^2))/2)</x:f>
        <x:v>42.48941087541356</x:v>
      </x:c>
      <x:c r="X100" s="71" t="n">
        <x:v>200</x:v>
      </x:c>
      <x:c r="Y100" s="71" t="n">
        <x:v>7.5</x:v>
      </x:c>
      <x:c r="Z100" s="80" t="str">
        <x:v>8MSPS下需关注干扰混叠；用于压力测试</x:v>
      </x:c>
    </x:row>
    <x:row r="101">
      <x:c r="A101" s="62" t="n">
        <x:v>97</x:v>
      </x:c>
      <x:c r="B101" s="63" t="n">
        <x:v>3</x:v>
      </x:c>
      <x:c r="C101" s="63" t="str">
        <x:v>ub+uJ</x:v>
      </x:c>
      <x:c r="D101" s="78" t="str">
        <x:v>典型组合/混叠压力</x:v>
      </x:c>
      <x:c r="E101" s="66" t="n">
        <x:v>200</x:v>
      </x:c>
      <x:c r="F101" s="66" t="n">
        <x:v>82</x:v>
      </x:c>
      <x:c r="G101" s="67" t="n">
        <x:v>2</x:v>
      </x:c>
      <x:c r="H101" s="67" t="n">
        <x:v>4</x:v>
      </x:c>
      <x:c r="I101" s="66" t="n">
        <x:f>F101*H101</x:f>
        <x:v>328</x:v>
      </x:c>
      <x:c r="J101" s="68" t="n">
        <x:v>0.507</x:v>
      </x:c>
      <x:c r="K101" s="67" t="n">
        <x:v>270</x:v>
      </x:c>
      <x:c r="L101" s="67" t="n">
        <x:v>5</x:v>
      </x:c>
      <x:c r="M101" s="66" t="n">
        <x:f>IF(L101="","",F101*L101)</x:f>
        <x:v>410</x:v>
      </x:c>
      <x:c r="N101" s="68" t="n">
        <x:v>0.29</x:v>
      </x:c>
      <x:c r="O101" s="67" t="n">
        <x:v>60</x:v>
      </x:c>
      <x:c r="P101" s="69" t="n">
        <x:v>3.0206499399649633</x:v>
      </x:c>
      <x:c r="Q101" s="70" t="n">
        <x:f>E101/P101</x:f>
        <x:v>66.21091618524979</x:v>
      </x:c>
      <x:c r="R101" s="70" t="n">
        <x:f>2*Q101</x:f>
        <x:v>132.42183237049957</x:v>
      </x:c>
      <x:c r="S101" s="70" t="n">
        <x:f>Q101*J101</x:f>
        <x:v>33.56893450592164</x:v>
      </x:c>
      <x:c r="T101" s="70" t="n">
        <x:f>2*S101</x:f>
        <x:v>67.13786901184328</x:v>
      </x:c>
      <x:c r="U101" s="70" t="n">
        <x:f>IF(G101=2,Q101*N101,"")</x:f>
        <x:v>19.201165693722437</x:v>
      </x:c>
      <x:c r="V101" s="70" t="n">
        <x:f>IF(U101="","",2*U101)</x:f>
        <x:v>38.402331387444875</x:v>
      </x:c>
      <x:c r="W101" s="70" t="n">
        <x:f>SQRT((Q101^2+S101^2+IF(U101="",0,U101^2))/2)</x:f>
        <x:v>54.21920116504305</x:v>
      </x:c>
      <x:c r="X101" s="71" t="n">
        <x:v>200</x:v>
      </x:c>
      <x:c r="Y101" s="71" t="n">
        <x:v>8.2</x:v>
      </x:c>
      <x:c r="Z101" s="80" t="str">
        <x:v>8MSPS下需关注干扰混叠；用于压力测试</x:v>
      </x:c>
    </x:row>
    <x:row r="102">
      <x:c r="A102" s="62" t="n">
        <x:v>98</x:v>
      </x:c>
      <x:c r="B102" s="63" t="n">
        <x:v>3</x:v>
      </x:c>
      <x:c r="C102" s="63" t="str">
        <x:v>ub+uJ</x:v>
      </x:c>
      <x:c r="D102" s="78" t="str">
        <x:v>典型组合</x:v>
      </x:c>
      <x:c r="E102" s="66" t="n">
        <x:v>225</x:v>
      </x:c>
      <x:c r="F102" s="66" t="n">
        <x:v>238</x:v>
      </x:c>
      <x:c r="G102" s="67" t="n">
        <x:v>1</x:v>
      </x:c>
      <x:c r="H102" s="67" t="n">
        <x:v>2</x:v>
      </x:c>
      <x:c r="I102" s="66" t="n">
        <x:f>F102*H102</x:f>
        <x:v>476</x:v>
      </x:c>
      <x:c r="J102" s="68" t="n">
        <x:v>0.786</x:v>
      </x:c>
      <x:c r="K102" s="67" t="n">
        <x:v>0</x:v>
      </x:c>
      <x:c r="L102" s="67"/>
      <x:c r="M102" s="66" t="str">
        <x:f>IF(L102="","",F102*L102)</x:f>
      </x:c>
      <x:c r="N102" s="68"/>
      <x:c r="O102" s="67"/>
      <x:c r="P102" s="69" t="n">
        <x:v>3.11584328533826</x:v>
      </x:c>
      <x:c r="Q102" s="70" t="n">
        <x:f>E102/P102</x:f>
        <x:v>72.21159069801347</x:v>
      </x:c>
      <x:c r="R102" s="70" t="n">
        <x:f>2*Q102</x:f>
        <x:v>144.42318139602693</x:v>
      </x:c>
      <x:c r="S102" s="70" t="n">
        <x:f>Q102*J102</x:f>
        <x:v>56.75831028863859</x:v>
      </x:c>
      <x:c r="T102" s="70" t="n">
        <x:f>2*S102</x:f>
        <x:v>113.51662057727718</x:v>
      </x:c>
      <x:c r="U102" s="70" t="str">
        <x:f>IF(G102=2,Q102*N102,"")</x:f>
      </x:c>
      <x:c r="V102" s="70" t="str">
        <x:f>IF(U102="","",2*U102)</x:f>
      </x:c>
      <x:c r="W102" s="70" t="n">
        <x:f>SQRT((Q102^2+S102^2+IF(U102="",0,U102^2))/2)</x:f>
        <x:v>64.94620704074566</x:v>
      </x:c>
      <x:c r="X102" s="71" t="n">
        <x:v>200</x:v>
      </x:c>
      <x:c r="Y102" s="71" t="n">
        <x:v>1</x:v>
      </x:c>
      <x:c r="Z102" s="80" t="str">
        <x:v>基波初相位0°；幅值按总Vpp归一化</x:v>
      </x:c>
    </x:row>
    <x:row r="103">
      <x:c r="A103" s="62" t="n">
        <x:v>99</x:v>
      </x:c>
      <x:c r="B103" s="63" t="n">
        <x:v>3</x:v>
      </x:c>
      <x:c r="C103" s="63" t="str">
        <x:v>ub+uJ</x:v>
      </x:c>
      <x:c r="D103" s="78" t="str">
        <x:v>典型组合</x:v>
      </x:c>
      <x:c r="E103" s="66" t="n">
        <x:v>240</x:v>
      </x:c>
      <x:c r="F103" s="66" t="n">
        <x:v>166.5</x:v>
      </x:c>
      <x:c r="G103" s="67" t="n">
        <x:v>1</x:v>
      </x:c>
      <x:c r="H103" s="67" t="n">
        <x:v>3</x:v>
      </x:c>
      <x:c r="I103" s="66" t="n">
        <x:f>F103*H103</x:f>
        <x:v>499.5</x:v>
      </x:c>
      <x:c r="J103" s="68" t="n">
        <x:v>1</x:v>
      </x:c>
      <x:c r="K103" s="67" t="n">
        <x:v>45</x:v>
      </x:c>
      <x:c r="L103" s="67"/>
      <x:c r="M103" s="66" t="str">
        <x:f>IF(L103="","",F103*L103)</x:f>
      </x:c>
      <x:c r="N103" s="68"/>
      <x:c r="O103" s="67"/>
      <x:c r="P103" s="69" t="n">
        <x:v>3.4658237214238</x:v>
      </x:c>
      <x:c r="Q103" s="70" t="n">
        <x:f>E103/P103</x:f>
        <x:v>69.24760729071508</x:v>
      </x:c>
      <x:c r="R103" s="70" t="n">
        <x:f>2*Q103</x:f>
        <x:v>138.49521458143016</x:v>
      </x:c>
      <x:c r="S103" s="70" t="n">
        <x:f>Q103*J103</x:f>
        <x:v>69.24760729071508</x:v>
      </x:c>
      <x:c r="T103" s="70" t="n">
        <x:f>2*S103</x:f>
        <x:v>138.49521458143016</x:v>
      </x:c>
      <x:c r="U103" s="70" t="str">
        <x:f>IF(G103=2,Q103*N103,"")</x:f>
      </x:c>
      <x:c r="V103" s="70" t="str">
        <x:f>IF(U103="","",2*U103)</x:f>
      </x:c>
      <x:c r="W103" s="70" t="n">
        <x:f>SQRT((Q103^2+S103^2+IF(U103="",0,U103^2))/2)</x:f>
        <x:v>69.24760729071508</x:v>
      </x:c>
      <x:c r="X103" s="71" t="n">
        <x:v>200</x:v>
      </x:c>
      <x:c r="Y103" s="71" t="n">
        <x:v>1.05</x:v>
      </x:c>
      <x:c r="Z103" s="80" t="str">
        <x:v>基波初相位0°；幅值按总Vpp归一化</x:v>
      </x:c>
    </x:row>
    <x:row r="104">
      <x:c r="A104" s="64" t="n">
        <x:v>100</x:v>
      </x:c>
      <x:c r="B104" s="65" t="n">
        <x:v>3</x:v>
      </x:c>
      <x:c r="C104" s="65" t="str">
        <x:v>ub+uJ</x:v>
      </x:c>
      <x:c r="D104" s="79" t="str">
        <x:v>幅值边界/频率下限</x:v>
      </x:c>
      <x:c r="E104" s="72" t="n">
        <x:v>250</x:v>
      </x:c>
      <x:c r="F104" s="72" t="n">
        <x:v>10</x:v>
      </x:c>
      <x:c r="G104" s="73" t="n">
        <x:v>1</x:v>
      </x:c>
      <x:c r="H104" s="73" t="n">
        <x:v>4</x:v>
      </x:c>
      <x:c r="I104" s="72" t="n">
        <x:f>F104*H104</x:f>
        <x:v>40</x:v>
      </x:c>
      <x:c r="J104" s="74" t="n">
        <x:v>0.267</x:v>
      </x:c>
      <x:c r="K104" s="73" t="n">
        <x:v>90</x:v>
      </x:c>
      <x:c r="L104" s="73"/>
      <x:c r="M104" s="72" t="str">
        <x:f>IF(L104="","",F104*L104)</x:f>
      </x:c>
      <x:c r="N104" s="74"/>
      <x:c r="O104" s="73"/>
      <x:c r="P104" s="75" t="n">
        <x:v>2.2922105496538903</x:v>
      </x:c>
      <x:c r="Q104" s="76" t="n">
        <x:f>E104/P104</x:f>
        <x:v>109.0650246059414</x:v>
      </x:c>
      <x:c r="R104" s="76" t="n">
        <x:f>2*Q104</x:f>
        <x:v>218.1300492118828</x:v>
      </x:c>
      <x:c r="S104" s="76" t="n">
        <x:f>Q104*J104</x:f>
        <x:v>29.120361569786358</x:v>
      </x:c>
      <x:c r="T104" s="76" t="n">
        <x:f>2*S104</x:f>
        <x:v>58.240723139572715</x:v>
      </x:c>
      <x:c r="U104" s="76" t="str">
        <x:f>IF(G104=2,Q104*N104,"")</x:f>
      </x:c>
      <x:c r="V104" s="76" t="str">
        <x:f>IF(U104="","",2*U104)</x:f>
      </x:c>
      <x:c r="W104" s="76" t="n">
        <x:f>SQRT((Q104^2+S104^2+IF(U104="",0,U104^2))/2)</x:f>
        <x:v>79.82222450624167</x:v>
      </x:c>
      <x:c r="X104" s="77" t="n">
        <x:v>200</x:v>
      </x:c>
      <x:c r="Y104" s="77" t="n">
        <x:v>1.2</x:v>
      </x:c>
      <x:c r="Z104" s="81" t="str">
        <x:v>基波初相位0°；幅值按总Vpp归一化</x:v>
      </x:c>
    </x:row>
  </x:sheetData>
  <x:pageMargins left="0.7" right="0.7" top="0.75" bottom="0.75" header="0.3" footer="0.3"/>
  <x:tableParts count="1">
    <x:tablePart xmlns:r="http://schemas.openxmlformats.org/officeDocument/2006/relationships" r:id="R5f70f3d442ef4c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</x:cols>
  <x:sheetData>
    <x:row r="1">
      <x:c r="A1" s="30" t="str">
        <x:v>G题100组测试结果记录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  <x:c r="AA1" s="30"/>
    </x:row>
    <x:row r="2">
      <x:c r="A2" t="str">
        <x:v>黄色列填写装置实测值；误差和判定自动计算。频谱分量幅值使用峰值mV。</x:v>
      </x:c>
    </x:row>
    <x:row r="4" ht="38" customHeight="1">
      <x:c r="A4" s="41" t="str">
        <x:v>编号</x:v>
      </x:c>
      <x:c r="B4" s="42" t="str">
        <x:v>题目项</x:v>
      </x:c>
      <x:c r="C4" s="42" t="str">
        <x:v>目标Vpp_mV</x:v>
      </x:c>
      <x:c r="D4" s="42" t="str">
        <x:v>理论RMS_mV</x:v>
      </x:c>
      <x:c r="E4" s="42" t="str">
        <x:v>基频_kHz</x:v>
      </x:c>
      <x:c r="F4" s="42" t="str">
        <x:v>基波峰值_mV</x:v>
      </x:c>
      <x:c r="G4" s="42" t="str">
        <x:v>谐波A峰值_mV</x:v>
      </x:c>
      <x:c r="H4" s="42" t="str">
        <x:v>谐波B峰值_mV</x:v>
      </x:c>
      <x:c r="I4" s="42" t="str">
        <x:v>实测Vpp_mV</x:v>
      </x:c>
      <x:c r="J4" s="42" t="str">
        <x:v>Vpp误差_mV</x:v>
      </x:c>
      <x:c r="K4" s="42" t="str">
        <x:v>实测RMS_mV</x:v>
      </x:c>
      <x:c r="L4" s="42" t="str">
        <x:v>RMS误差_mV</x:v>
      </x:c>
      <x:c r="M4" s="42" t="str">
        <x:v>实测基频_kHz</x:v>
      </x:c>
      <x:c r="N4" s="42" t="str">
        <x:v>频率误差_kHz</x:v>
      </x:c>
      <x:c r="O4" s="42" t="str">
        <x:v>实测基波_mV</x:v>
      </x:c>
      <x:c r="P4" s="42" t="str">
        <x:v>基波误差_mV</x:v>
      </x:c>
      <x:c r="Q4" s="42" t="str">
        <x:v>实测谐波A_mV</x:v>
      </x:c>
      <x:c r="R4" s="42" t="str">
        <x:v>谐波A误差_mV</x:v>
      </x:c>
      <x:c r="S4" s="42" t="str">
        <x:v>实测谐波B_mV</x:v>
      </x:c>
      <x:c r="T4" s="42" t="str">
        <x:v>谐波B误差_mV</x:v>
      </x:c>
      <x:c r="U4" s="42" t="str">
        <x:v>完成时间_ms</x:v>
      </x:c>
      <x:c r="V4" s="42" t="str">
        <x:v>Vpp判定</x:v>
      </x:c>
      <x:c r="W4" s="42" t="str">
        <x:v>RMS判定</x:v>
      </x:c>
      <x:c r="X4" s="42" t="str">
        <x:v>频率判定</x:v>
      </x:c>
      <x:c r="Y4" s="42" t="str">
        <x:v>谱幅判定</x:v>
      </x:c>
      <x:c r="Z4" s="42" t="str">
        <x:v>时间判定</x:v>
      </x:c>
      <x:c r="AA4" s="43" t="str">
        <x:v>综合判定</x:v>
      </x:c>
    </x:row>
    <x:row r="5">
      <x:c r="A5" s="96" t="n">
        <x:f>'测试用例'!A5</x:f>
        <x:v>1</x:v>
      </x:c>
      <x:c r="B5" s="97" t="n">
        <x:f>'测试用例'!B5</x:f>
        <x:v>1</x:v>
      </x:c>
      <x:c r="C5" s="58" t="n">
        <x:f>'测试用例'!E5</x:f>
        <x:v>100</x:v>
      </x:c>
      <x:c r="D5" s="58" t="n">
        <x:f>'测试用例'!W5</x:f>
        <x:v>29.19104626455726</x:v>
      </x:c>
      <x:c r="E5" s="58" t="n">
        <x:f>'测试用例'!F5</x:f>
        <x:v>10</x:v>
      </x:c>
      <x:c r="F5" s="58" t="n">
        <x:f>'测试用例'!Q5</x:f>
        <x:v>36.03420982015676</x:v>
      </x:c>
      <x:c r="G5" s="58" t="n">
        <x:f>'测试用例'!S5</x:f>
        <x:v>18.01710491007838</x:v>
      </x:c>
      <x:c r="H5" s="58" t="n">
        <x:f>'测试用例'!U5</x:f>
        <x:v>9.00855245503919</x:v>
      </x:c>
      <x:c r="I5" s="90"/>
      <x:c r="J5" s="91" t="str">
        <x:f>IF(I5="","",I5-C5)</x:f>
      </x:c>
      <x:c r="K5" s="90"/>
      <x:c r="L5" s="91" t="str">
        <x:f>IF(K5="","",K5-D5)</x:f>
      </x:c>
      <x:c r="M5" s="90"/>
      <x:c r="N5" s="91" t="str">
        <x:f>IF(M5="","",M5-E5)</x:f>
      </x:c>
      <x:c r="O5" s="90"/>
      <x:c r="P5" s="91" t="str">
        <x:f>IF(O5="","",O5-F5)</x:f>
      </x:c>
      <x:c r="Q5" s="90"/>
      <x:c r="R5" s="91" t="str">
        <x:f>IF(Q5="","",Q5-G5)</x:f>
      </x:c>
      <x:c r="S5" s="90"/>
      <x:c r="T5" s="91" t="str">
        <x:f>IF(OR(H5="",S5=""),"",S5-H5)</x:f>
      </x:c>
      <x:c r="U5" s="94"/>
      <x:c r="V5" s="100" t="str">
        <x:f>IF(I5="","",IF(ABS(J5)&lt;=5,"PASS","FAIL"))</x:f>
      </x:c>
      <x:c r="W5" s="100" t="str">
        <x:f>IF(K5="","",IF(ABS(L5)&lt;=5,"PASS","FAIL"))</x:f>
      </x:c>
      <x:c r="X5" s="100" t="str">
        <x:f>IF(M5="","",IF(ABS(N5)&lt;=1,"PASS","FAIL"))</x:f>
      </x:c>
      <x:c r="Y5" s="100" t="str">
        <x:f>IF(OR(O5="",Q5="",IF(H5="",FALSE,S5="")),"",IF(AND(ABS(P5)&lt;=5,ABS(R5)&lt;=5,IF(H5="",TRUE,ABS(T5)&lt;=5)),"PASS","FAIL"))</x:f>
      </x:c>
      <x:c r="Z5" s="100" t="str">
        <x:f>IF(U5="","",IF(U5&lt;=2000,"PASS","FAIL"))</x:f>
      </x:c>
      <x:c r="AA5" s="101" t="str">
        <x:f>IF(COUNTBLANK(V5:Z5)&gt;0,"",IF(COUNTIF(V5:Z5,"FAIL")=0,"PASS","FAIL"))</x:f>
      </x:c>
    </x:row>
    <x:row r="6">
      <x:c r="A6" s="96" t="n">
        <x:f>'测试用例'!A6</x:f>
        <x:v>2</x:v>
      </x:c>
      <x:c r="B6" s="97" t="n">
        <x:f>'测试用例'!B6</x:f>
        <x:v>1</x:v>
      </x:c>
      <x:c r="C6" s="58" t="n">
        <x:f>'测试用例'!E6</x:f>
        <x:v>250</x:v>
      </x:c>
      <x:c r="D6" s="58" t="n">
        <x:f>'测试用例'!W6</x:f>
        <x:v>82.69392694818059</x:v>
      </x:c>
      <x:c r="E6" s="58" t="n">
        <x:f>'测试用例'!F6</x:f>
        <x:v>10.5</x:v>
      </x:c>
      <x:c r="F6" s="58" t="n">
        <x:f>'测试用例'!Q6</x:f>
        <x:v>102.07959959699818</x:v>
      </x:c>
      <x:c r="G6" s="58" t="n">
        <x:f>'测试用例'!S6</x:f>
        <x:v>51.03979979849909</x:v>
      </x:c>
      <x:c r="H6" s="58" t="n">
        <x:f>'测试用例'!U6</x:f>
        <x:v>25.519899899249545</x:v>
      </x:c>
      <x:c r="I6" s="90"/>
      <x:c r="J6" s="91" t="str">
        <x:f>IF(I6="","",I6-C6)</x:f>
      </x:c>
      <x:c r="K6" s="90"/>
      <x:c r="L6" s="91" t="str">
        <x:f>IF(K6="","",K6-D6)</x:f>
      </x:c>
      <x:c r="M6" s="90"/>
      <x:c r="N6" s="91" t="str">
        <x:f>IF(M6="","",M6-E6)</x:f>
      </x:c>
      <x:c r="O6" s="90"/>
      <x:c r="P6" s="91" t="str">
        <x:f>IF(O6="","",O6-F6)</x:f>
      </x:c>
      <x:c r="Q6" s="90"/>
      <x:c r="R6" s="91" t="str">
        <x:f>IF(Q6="","",Q6-G6)</x:f>
      </x:c>
      <x:c r="S6" s="90"/>
      <x:c r="T6" s="91" t="str">
        <x:f>IF(OR(H6="",S6=""),"",S6-H6)</x:f>
      </x:c>
      <x:c r="U6" s="94"/>
      <x:c r="V6" s="100" t="str">
        <x:f>IF(I6="","",IF(ABS(J6)&lt;=5,"PASS","FAIL"))</x:f>
      </x:c>
      <x:c r="W6" s="100" t="str">
        <x:f>IF(K6="","",IF(ABS(L6)&lt;=5,"PASS","FAIL"))</x:f>
      </x:c>
      <x:c r="X6" s="100" t="str">
        <x:f>IF(M6="","",IF(ABS(N6)&lt;=1,"PASS","FAIL"))</x:f>
      </x:c>
      <x:c r="Y6" s="100" t="str">
        <x:f>IF(OR(O6="",Q6="",IF(H6="",FALSE,S6="")),"",IF(AND(ABS(P6)&lt;=5,ABS(R6)&lt;=5,IF(H6="",TRUE,ABS(T6)&lt;=5)),"PASS","FAIL"))</x:f>
      </x:c>
      <x:c r="Z6" s="100" t="str">
        <x:f>IF(U6="","",IF(U6&lt;=2000,"PASS","FAIL"))</x:f>
      </x:c>
      <x:c r="AA6" s="101" t="str">
        <x:f>IF(COUNTBLANK(V6:Z6)&gt;0,"",IF(COUNTIF(V6:Z6,"FAIL")=0,"PASS","FAIL"))</x:f>
      </x:c>
    </x:row>
    <x:row r="7">
      <x:c r="A7" s="96" t="n">
        <x:f>'测试用例'!A7</x:f>
        <x:v>3</x:v>
      </x:c>
      <x:c r="B7" s="97" t="n">
        <x:f>'测试用例'!B7</x:f>
        <x:v>1</x:v>
      </x:c>
      <x:c r="C7" s="58" t="n">
        <x:f>'测试用例'!E7</x:f>
        <x:v>250</x:v>
      </x:c>
      <x:c r="D7" s="58" t="n">
        <x:f>'测试用例'!W7</x:f>
        <x:v>78.37263283107337</x:v>
      </x:c>
      <x:c r="E7" s="58" t="n">
        <x:f>'测试用例'!F7</x:f>
        <x:v>100</x:v>
      </x:c>
      <x:c r="F7" s="58" t="n">
        <x:f>'测试用例'!Q7</x:f>
        <x:v>102.90830850873023</x:v>
      </x:c>
      <x:c r="G7" s="58" t="n">
        <x:f>'测试用例'!S7</x:f>
        <x:v>41.16332340349209</x:v>
      </x:c>
      <x:c r="H7" s="58" t="str">
        <x:f>'测试用例'!U7</x:f>
      </x:c>
      <x:c r="I7" s="90"/>
      <x:c r="J7" s="91" t="str">
        <x:f>IF(I7="","",I7-C7)</x:f>
      </x:c>
      <x:c r="K7" s="90"/>
      <x:c r="L7" s="91" t="str">
        <x:f>IF(K7="","",K7-D7)</x:f>
      </x:c>
      <x:c r="M7" s="90"/>
      <x:c r="N7" s="91" t="str">
        <x:f>IF(M7="","",M7-E7)</x:f>
      </x:c>
      <x:c r="O7" s="90"/>
      <x:c r="P7" s="91" t="str">
        <x:f>IF(O7="","",O7-F7)</x:f>
      </x:c>
      <x:c r="Q7" s="90"/>
      <x:c r="R7" s="91" t="str">
        <x:f>IF(Q7="","",Q7-G7)</x:f>
      </x:c>
      <x:c r="S7" s="90"/>
      <x:c r="T7" s="91" t="str">
        <x:f>IF(OR(H7="",S7=""),"",S7-H7)</x:f>
      </x:c>
      <x:c r="U7" s="94"/>
      <x:c r="V7" s="100" t="str">
        <x:f>IF(I7="","",IF(ABS(J7)&lt;=5,"PASS","FAIL"))</x:f>
      </x:c>
      <x:c r="W7" s="100" t="str">
        <x:f>IF(K7="","",IF(ABS(L7)&lt;=5,"PASS","FAIL"))</x:f>
      </x:c>
      <x:c r="X7" s="100" t="str">
        <x:f>IF(M7="","",IF(ABS(N7)&lt;=1,"PASS","FAIL"))</x:f>
      </x:c>
      <x:c r="Y7" s="100" t="str">
        <x:f>IF(OR(O7="",Q7="",IF(H7="",FALSE,S7="")),"",IF(AND(ABS(P7)&lt;=5,ABS(R7)&lt;=5,IF(H7="",TRUE,ABS(T7)&lt;=5)),"PASS","FAIL"))</x:f>
      </x:c>
      <x:c r="Z7" s="100" t="str">
        <x:f>IF(U7="","",IF(U7&lt;=2000,"PASS","FAIL"))</x:f>
      </x:c>
      <x:c r="AA7" s="101" t="str">
        <x:f>IF(COUNTBLANK(V7:Z7)&gt;0,"",IF(COUNTIF(V7:Z7,"FAIL")=0,"PASS","FAIL"))</x:f>
      </x:c>
    </x:row>
    <x:row r="8">
      <x:c r="A8" s="96" t="n">
        <x:f>'测试用例'!A8</x:f>
        <x:v>4</x:v>
      </x:c>
      <x:c r="B8" s="97" t="n">
        <x:f>'测试用例'!B8</x:f>
        <x:v>1</x:v>
      </x:c>
      <x:c r="C8" s="58" t="n">
        <x:f>'测试用例'!E8</x:f>
        <x:v>150</x:v>
      </x:c>
      <x:c r="D8" s="58" t="n">
        <x:f>'测试用例'!W8</x:f>
        <x:v>49.60699951614041</x:v>
      </x:c>
      <x:c r="E8" s="58" t="n">
        <x:f>'测试用例'!F8</x:f>
        <x:v>50</x:v>
      </x:c>
      <x:c r="F8" s="58" t="n">
        <x:f>'测试用例'!Q8</x:f>
        <x:v>64.04236099377707</x:v>
      </x:c>
      <x:c r="G8" s="58" t="n">
        <x:f>'测试用例'!S8</x:f>
        <x:v>25.616944397510828</x:v>
      </x:c>
      <x:c r="H8" s="58" t="n">
        <x:f>'测试用例'!U8</x:f>
        <x:v>12.808472198755414</x:v>
      </x:c>
      <x:c r="I8" s="90"/>
      <x:c r="J8" s="91" t="str">
        <x:f>IF(I8="","",I8-C8)</x:f>
      </x:c>
      <x:c r="K8" s="90"/>
      <x:c r="L8" s="91" t="str">
        <x:f>IF(K8="","",K8-D8)</x:f>
      </x:c>
      <x:c r="M8" s="90"/>
      <x:c r="N8" s="91" t="str">
        <x:f>IF(M8="","",M8-E8)</x:f>
      </x:c>
      <x:c r="O8" s="90"/>
      <x:c r="P8" s="91" t="str">
        <x:f>IF(O8="","",O8-F8)</x:f>
      </x:c>
      <x:c r="Q8" s="90"/>
      <x:c r="R8" s="91" t="str">
        <x:f>IF(Q8="","",Q8-G8)</x:f>
      </x:c>
      <x:c r="S8" s="90"/>
      <x:c r="T8" s="91" t="str">
        <x:f>IF(OR(H8="",S8=""),"",S8-H8)</x:f>
      </x:c>
      <x:c r="U8" s="94"/>
      <x:c r="V8" s="100" t="str">
        <x:f>IF(I8="","",IF(ABS(J8)&lt;=5,"PASS","FAIL"))</x:f>
      </x:c>
      <x:c r="W8" s="100" t="str">
        <x:f>IF(K8="","",IF(ABS(L8)&lt;=5,"PASS","FAIL"))</x:f>
      </x:c>
      <x:c r="X8" s="100" t="str">
        <x:f>IF(M8="","",IF(ABS(N8)&lt;=1,"PASS","FAIL"))</x:f>
      </x:c>
      <x:c r="Y8" s="100" t="str">
        <x:f>IF(OR(O8="",Q8="",IF(H8="",FALSE,S8="")),"",IF(AND(ABS(P8)&lt;=5,ABS(R8)&lt;=5,IF(H8="",TRUE,ABS(T8)&lt;=5)),"PASS","FAIL"))</x:f>
      </x:c>
      <x:c r="Z8" s="100" t="str">
        <x:f>IF(U8="","",IF(U8&lt;=2000,"PASS","FAIL"))</x:f>
      </x:c>
      <x:c r="AA8" s="101" t="str">
        <x:f>IF(COUNTBLANK(V8:Z8)&gt;0,"",IF(COUNTIF(V8:Z8,"FAIL")=0,"PASS","FAIL"))</x:f>
      </x:c>
    </x:row>
    <x:row r="9">
      <x:c r="A9" s="96" t="n">
        <x:f>'测试用例'!A9</x:f>
        <x:v>5</x:v>
      </x:c>
      <x:c r="B9" s="97" t="n">
        <x:f>'测试用例'!B9</x:f>
        <x:v>1</x:v>
      </x:c>
      <x:c r="C9" s="58" t="n">
        <x:f>'测试用例'!E9</x:f>
        <x:v>175</x:v>
      </x:c>
      <x:c r="D9" s="58" t="n">
        <x:f>'测试用例'!W9</x:f>
        <x:v>50.994480408419854</x:v>
      </x:c>
      <x:c r="E9" s="58" t="n">
        <x:f>'测试用例'!F9</x:f>
        <x:v>36</x:v>
      </x:c>
      <x:c r="F9" s="58" t="n">
        <x:f>'测试用例'!Q9</x:f>
        <x:v>69.43144870052485</x:v>
      </x:c>
      <x:c r="G9" s="58" t="n">
        <x:f>'测试用例'!S9</x:f>
        <x:v>16.941273482928064</x:v>
      </x:c>
      <x:c r="H9" s="58" t="n">
        <x:f>'测试用例'!U9</x:f>
        <x:v>9.650971369372956</x:v>
      </x:c>
      <x:c r="I9" s="90"/>
      <x:c r="J9" s="91" t="str">
        <x:f>IF(I9="","",I9-C9)</x:f>
      </x:c>
      <x:c r="K9" s="90"/>
      <x:c r="L9" s="91" t="str">
        <x:f>IF(K9="","",K9-D9)</x:f>
      </x:c>
      <x:c r="M9" s="90"/>
      <x:c r="N9" s="91" t="str">
        <x:f>IF(M9="","",M9-E9)</x:f>
      </x:c>
      <x:c r="O9" s="90"/>
      <x:c r="P9" s="91" t="str">
        <x:f>IF(O9="","",O9-F9)</x:f>
      </x:c>
      <x:c r="Q9" s="90"/>
      <x:c r="R9" s="91" t="str">
        <x:f>IF(Q9="","",Q9-G9)</x:f>
      </x:c>
      <x:c r="S9" s="90"/>
      <x:c r="T9" s="91" t="str">
        <x:f>IF(OR(H9="",S9=""),"",S9-H9)</x:f>
      </x:c>
      <x:c r="U9" s="94"/>
      <x:c r="V9" s="100" t="str">
        <x:f>IF(I9="","",IF(ABS(J9)&lt;=5,"PASS","FAIL"))</x:f>
      </x:c>
      <x:c r="W9" s="100" t="str">
        <x:f>IF(K9="","",IF(ABS(L9)&lt;=5,"PASS","FAIL"))</x:f>
      </x:c>
      <x:c r="X9" s="100" t="str">
        <x:f>IF(M9="","",IF(ABS(N9)&lt;=1,"PASS","FAIL"))</x:f>
      </x:c>
      <x:c r="Y9" s="100" t="str">
        <x:f>IF(OR(O9="",Q9="",IF(H9="",FALSE,S9="")),"",IF(AND(ABS(P9)&lt;=5,ABS(R9)&lt;=5,IF(H9="",TRUE,ABS(T9)&lt;=5)),"PASS","FAIL"))</x:f>
      </x:c>
      <x:c r="Z9" s="100" t="str">
        <x:f>IF(U9="","",IF(U9&lt;=2000,"PASS","FAIL"))</x:f>
      </x:c>
      <x:c r="AA9" s="101" t="str">
        <x:f>IF(COUNTBLANK(V9:Z9)&gt;0,"",IF(COUNTIF(V9:Z9,"FAIL")=0,"PASS","FAIL"))</x:f>
      </x:c>
    </x:row>
    <x:row r="10">
      <x:c r="A10" s="96" t="n">
        <x:f>'测试用例'!A10</x:f>
        <x:v>6</x:v>
      </x:c>
      <x:c r="B10" s="97" t="n">
        <x:f>'测试用例'!B10</x:f>
        <x:v>1</x:v>
      </x:c>
      <x:c r="C10" s="58" t="n">
        <x:f>'测试用例'!E10</x:f>
        <x:v>200</x:v>
      </x:c>
      <x:c r="D10" s="58" t="n">
        <x:f>'测试用例'!W10</x:f>
        <x:v>58.62511684409024</x:v>
      </x:c>
      <x:c r="E10" s="58" t="n">
        <x:f>'测试用例'!F10</x:f>
        <x:v>34</x:v>
      </x:c>
      <x:c r="F10" s="58" t="n">
        <x:f>'测试用例'!Q10</x:f>
        <x:v>75.09621798293006</x:v>
      </x:c>
      <x:c r="G10" s="58" t="n">
        <x:f>'测试用例'!S10</x:f>
        <x:v>31.164930462915972</x:v>
      </x:c>
      <x:c r="H10" s="58" t="n">
        <x:f>'测试用例'!U10</x:f>
        <x:v>16.22078308431289</x:v>
      </x:c>
      <x:c r="I10" s="90"/>
      <x:c r="J10" s="91" t="str">
        <x:f>IF(I10="","",I10-C10)</x:f>
      </x:c>
      <x:c r="K10" s="90"/>
      <x:c r="L10" s="91" t="str">
        <x:f>IF(K10="","",K10-D10)</x:f>
      </x:c>
      <x:c r="M10" s="90"/>
      <x:c r="N10" s="91" t="str">
        <x:f>IF(M10="","",M10-E10)</x:f>
      </x:c>
      <x:c r="O10" s="90"/>
      <x:c r="P10" s="91" t="str">
        <x:f>IF(O10="","",O10-F10)</x:f>
      </x:c>
      <x:c r="Q10" s="90"/>
      <x:c r="R10" s="91" t="str">
        <x:f>IF(Q10="","",Q10-G10)</x:f>
      </x:c>
      <x:c r="S10" s="90"/>
      <x:c r="T10" s="91" t="str">
        <x:f>IF(OR(H10="",S10=""),"",S10-H10)</x:f>
      </x:c>
      <x:c r="U10" s="94"/>
      <x:c r="V10" s="100" t="str">
        <x:f>IF(I10="","",IF(ABS(J10)&lt;=5,"PASS","FAIL"))</x:f>
      </x:c>
      <x:c r="W10" s="100" t="str">
        <x:f>IF(K10="","",IF(ABS(L10)&lt;=5,"PASS","FAIL"))</x:f>
      </x:c>
      <x:c r="X10" s="100" t="str">
        <x:f>IF(M10="","",IF(ABS(N10)&lt;=1,"PASS","FAIL"))</x:f>
      </x:c>
      <x:c r="Y10" s="100" t="str">
        <x:f>IF(OR(O10="",Q10="",IF(H10="",FALSE,S10="")),"",IF(AND(ABS(P10)&lt;=5,ABS(R10)&lt;=5,IF(H10="",TRUE,ABS(T10)&lt;=5)),"PASS","FAIL"))</x:f>
      </x:c>
      <x:c r="Z10" s="100" t="str">
        <x:f>IF(U10="","",IF(U10&lt;=2000,"PASS","FAIL"))</x:f>
      </x:c>
      <x:c r="AA10" s="101" t="str">
        <x:f>IF(COUNTBLANK(V10:Z10)&gt;0,"",IF(COUNTIF(V10:Z10,"FAIL")=0,"PASS","FAIL"))</x:f>
      </x:c>
    </x:row>
    <x:row r="11">
      <x:c r="A11" s="96" t="n">
        <x:f>'测试用例'!A11</x:f>
        <x:v>7</x:v>
      </x:c>
      <x:c r="B11" s="97" t="n">
        <x:f>'测试用例'!B11</x:f>
        <x:v>1</x:v>
      </x:c>
      <x:c r="C11" s="58" t="n">
        <x:f>'测试用例'!E11</x:f>
        <x:v>225</x:v>
      </x:c>
      <x:c r="D11" s="58" t="n">
        <x:f>'测试用例'!W11</x:f>
        <x:v>61.8378147602653</x:v>
      </x:c>
      <x:c r="E11" s="58" t="n">
        <x:f>'测试用例'!F11</x:f>
        <x:v>38.5</x:v>
      </x:c>
      <x:c r="F11" s="58" t="n">
        <x:f>'测试用例'!Q11</x:f>
        <x:v>75.29783236187099</x:v>
      </x:c>
      <x:c r="G11" s="58" t="n">
        <x:f>'测试用例'!S11</x:f>
        <x:v>37.95010751038298</x:v>
      </x:c>
      <x:c r="H11" s="58" t="n">
        <x:f>'测试用例'!U11</x:f>
        <x:v>23.191732367456265</x:v>
      </x:c>
      <x:c r="I11" s="90"/>
      <x:c r="J11" s="91" t="str">
        <x:f>IF(I11="","",I11-C11)</x:f>
      </x:c>
      <x:c r="K11" s="90"/>
      <x:c r="L11" s="91" t="str">
        <x:f>IF(K11="","",K11-D11)</x:f>
      </x:c>
      <x:c r="M11" s="90"/>
      <x:c r="N11" s="91" t="str">
        <x:f>IF(M11="","",M11-E11)</x:f>
      </x:c>
      <x:c r="O11" s="90"/>
      <x:c r="P11" s="91" t="str">
        <x:f>IF(O11="","",O11-F11)</x:f>
      </x:c>
      <x:c r="Q11" s="90"/>
      <x:c r="R11" s="91" t="str">
        <x:f>IF(Q11="","",Q11-G11)</x:f>
      </x:c>
      <x:c r="S11" s="90"/>
      <x:c r="T11" s="91" t="str">
        <x:f>IF(OR(H11="",S11=""),"",S11-H11)</x:f>
      </x:c>
      <x:c r="U11" s="94"/>
      <x:c r="V11" s="100" t="str">
        <x:f>IF(I11="","",IF(ABS(J11)&lt;=5,"PASS","FAIL"))</x:f>
      </x:c>
      <x:c r="W11" s="100" t="str">
        <x:f>IF(K11="","",IF(ABS(L11)&lt;=5,"PASS","FAIL"))</x:f>
      </x:c>
      <x:c r="X11" s="100" t="str">
        <x:f>IF(M11="","",IF(ABS(N11)&lt;=1,"PASS","FAIL"))</x:f>
      </x:c>
      <x:c r="Y11" s="100" t="str">
        <x:f>IF(OR(O11="",Q11="",IF(H11="",FALSE,S11="")),"",IF(AND(ABS(P11)&lt;=5,ABS(R11)&lt;=5,IF(H11="",TRUE,ABS(T11)&lt;=5)),"PASS","FAIL"))</x:f>
      </x:c>
      <x:c r="Z11" s="100" t="str">
        <x:f>IF(U11="","",IF(U11&lt;=2000,"PASS","FAIL"))</x:f>
      </x:c>
      <x:c r="AA11" s="101" t="str">
        <x:f>IF(COUNTBLANK(V11:Z11)&gt;0,"",IF(COUNTIF(V11:Z11,"FAIL")=0,"PASS","FAIL"))</x:f>
      </x:c>
    </x:row>
    <x:row r="12">
      <x:c r="A12" s="96" t="n">
        <x:f>'测试用例'!A12</x:f>
        <x:v>8</x:v>
      </x:c>
      <x:c r="B12" s="97" t="n">
        <x:f>'测试用例'!B12</x:f>
        <x:v>1</x:v>
      </x:c>
      <x:c r="C12" s="58" t="n">
        <x:f>'测试用例'!E12</x:f>
        <x:v>240</x:v>
      </x:c>
      <x:c r="D12" s="58" t="n">
        <x:f>'测试用例'!W12</x:f>
        <x:v>71.28868560685757</x:v>
      </x:c>
      <x:c r="E12" s="58" t="n">
        <x:f>'测试用例'!F12</x:f>
        <x:v>100</x:v>
      </x:c>
      <x:c r="F12" s="58" t="n">
        <x:f>'测试用例'!Q12</x:f>
        <x:v>78.15010833923418</x:v>
      </x:c>
      <x:c r="G12" s="58" t="n">
        <x:f>'测试用例'!S12</x:f>
        <x:v>63.69233829647585</x:v>
      </x:c>
      <x:c r="H12" s="58" t="str">
        <x:f>'测试用例'!U12</x:f>
      </x:c>
      <x:c r="I12" s="90"/>
      <x:c r="J12" s="91" t="str">
        <x:f>IF(I12="","",I12-C12)</x:f>
      </x:c>
      <x:c r="K12" s="90"/>
      <x:c r="L12" s="91" t="str">
        <x:f>IF(K12="","",K12-D12)</x:f>
      </x:c>
      <x:c r="M12" s="90"/>
      <x:c r="N12" s="91" t="str">
        <x:f>IF(M12="","",M12-E12)</x:f>
      </x:c>
      <x:c r="O12" s="90"/>
      <x:c r="P12" s="91" t="str">
        <x:f>IF(O12="","",O12-F12)</x:f>
      </x:c>
      <x:c r="Q12" s="90"/>
      <x:c r="R12" s="91" t="str">
        <x:f>IF(Q12="","",Q12-G12)</x:f>
      </x:c>
      <x:c r="S12" s="90"/>
      <x:c r="T12" s="91" t="str">
        <x:f>IF(OR(H12="",S12=""),"",S12-H12)</x:f>
      </x:c>
      <x:c r="U12" s="94"/>
      <x:c r="V12" s="100" t="str">
        <x:f>IF(I12="","",IF(ABS(J12)&lt;=5,"PASS","FAIL"))</x:f>
      </x:c>
      <x:c r="W12" s="100" t="str">
        <x:f>IF(K12="","",IF(ABS(L12)&lt;=5,"PASS","FAIL"))</x:f>
      </x:c>
      <x:c r="X12" s="100" t="str">
        <x:f>IF(M12="","",IF(ABS(N12)&lt;=1,"PASS","FAIL"))</x:f>
      </x:c>
      <x:c r="Y12" s="100" t="str">
        <x:f>IF(OR(O12="",Q12="",IF(H12="",FALSE,S12="")),"",IF(AND(ABS(P12)&lt;=5,ABS(R12)&lt;=5,IF(H12="",TRUE,ABS(T12)&lt;=5)),"PASS","FAIL"))</x:f>
      </x:c>
      <x:c r="Z12" s="100" t="str">
        <x:f>IF(U12="","",IF(U12&lt;=2000,"PASS","FAIL"))</x:f>
      </x:c>
      <x:c r="AA12" s="101" t="str">
        <x:f>IF(COUNTBLANK(V12:Z12)&gt;0,"",IF(COUNTIF(V12:Z12,"FAIL")=0,"PASS","FAIL"))</x:f>
      </x:c>
    </x:row>
    <x:row r="13">
      <x:c r="A13" s="96" t="n">
        <x:f>'测试用例'!A13</x:f>
        <x:v>9</x:v>
      </x:c>
      <x:c r="B13" s="97" t="n">
        <x:f>'测试用例'!B13</x:f>
        <x:v>1</x:v>
      </x:c>
      <x:c r="C13" s="58" t="n">
        <x:f>'测试用例'!E13</x:f>
        <x:v>250</x:v>
      </x:c>
      <x:c r="D13" s="58" t="n">
        <x:f>'测试用例'!W13</x:f>
        <x:v>66.53687389809735</x:v>
      </x:c>
      <x:c r="E13" s="58" t="n">
        <x:f>'测试用例'!F13</x:f>
        <x:v>10</x:v>
      </x:c>
      <x:c r="F13" s="58" t="n">
        <x:f>'测试用例'!Q13</x:f>
        <x:v>66.57015064799032</x:v>
      </x:c>
      <x:c r="G13" s="58" t="n">
        <x:f>'测试用例'!S13</x:f>
        <x:v>66.50358049734233</x:v>
      </x:c>
      <x:c r="H13" s="58" t="str">
        <x:f>'测试用例'!U13</x:f>
      </x:c>
      <x:c r="I13" s="90"/>
      <x:c r="J13" s="91" t="str">
        <x:f>IF(I13="","",I13-C13)</x:f>
      </x:c>
      <x:c r="K13" s="90"/>
      <x:c r="L13" s="91" t="str">
        <x:f>IF(K13="","",K13-D13)</x:f>
      </x:c>
      <x:c r="M13" s="90"/>
      <x:c r="N13" s="91" t="str">
        <x:f>IF(M13="","",M13-E13)</x:f>
      </x:c>
      <x:c r="O13" s="90"/>
      <x:c r="P13" s="91" t="str">
        <x:f>IF(O13="","",O13-F13)</x:f>
      </x:c>
      <x:c r="Q13" s="90"/>
      <x:c r="R13" s="91" t="str">
        <x:f>IF(Q13="","",Q13-G13)</x:f>
      </x:c>
      <x:c r="S13" s="90"/>
      <x:c r="T13" s="91" t="str">
        <x:f>IF(OR(H13="",S13=""),"",S13-H13)</x:f>
      </x:c>
      <x:c r="U13" s="94"/>
      <x:c r="V13" s="100" t="str">
        <x:f>IF(I13="","",IF(ABS(J13)&lt;=5,"PASS","FAIL"))</x:f>
      </x:c>
      <x:c r="W13" s="100" t="str">
        <x:f>IF(K13="","",IF(ABS(L13)&lt;=5,"PASS","FAIL"))</x:f>
      </x:c>
      <x:c r="X13" s="100" t="str">
        <x:f>IF(M13="","",IF(ABS(N13)&lt;=1,"PASS","FAIL"))</x:f>
      </x:c>
      <x:c r="Y13" s="100" t="str">
        <x:f>IF(OR(O13="",Q13="",IF(H13="",FALSE,S13="")),"",IF(AND(ABS(P13)&lt;=5,ABS(R13)&lt;=5,IF(H13="",TRUE,ABS(T13)&lt;=5)),"PASS","FAIL"))</x:f>
      </x:c>
      <x:c r="Z13" s="100" t="str">
        <x:f>IF(U13="","",IF(U13&lt;=2000,"PASS","FAIL"))</x:f>
      </x:c>
      <x:c r="AA13" s="101" t="str">
        <x:f>IF(COUNTBLANK(V13:Z13)&gt;0,"",IF(COUNTIF(V13:Z13,"FAIL")=0,"PASS","FAIL"))</x:f>
      </x:c>
    </x:row>
    <x:row r="14">
      <x:c r="A14" s="96" t="n">
        <x:f>'测试用例'!A14</x:f>
        <x:v>10</x:v>
      </x:c>
      <x:c r="B14" s="97" t="n">
        <x:f>'测试用例'!B14</x:f>
        <x:v>1</x:v>
      </x:c>
      <x:c r="C14" s="58" t="n">
        <x:f>'测试用例'!E14</x:f>
        <x:v>100</x:v>
      </x:c>
      <x:c r="D14" s="58" t="n">
        <x:f>'测试用例'!W14</x:f>
        <x:v>30.96749829181455</x:v>
      </x:c>
      <x:c r="E14" s="58" t="n">
        <x:f>'测试用例'!F14</x:f>
        <x:v>18</x:v>
      </x:c>
      <x:c r="F14" s="58" t="n">
        <x:f>'测试用例'!Q14</x:f>
        <x:v>42.44680668827354</x:v>
      </x:c>
      <x:c r="G14" s="58" t="n">
        <x:f>'测试用例'!S14</x:f>
        <x:v>10.781488898821479</x:v>
      </x:c>
      <x:c r="H14" s="58" t="str">
        <x:f>'测试用例'!U14</x:f>
      </x:c>
      <x:c r="I14" s="90"/>
      <x:c r="J14" s="91" t="str">
        <x:f>IF(I14="","",I14-C14)</x:f>
      </x:c>
      <x:c r="K14" s="90"/>
      <x:c r="L14" s="91" t="str">
        <x:f>IF(K14="","",K14-D14)</x:f>
      </x:c>
      <x:c r="M14" s="90"/>
      <x:c r="N14" s="91" t="str">
        <x:f>IF(M14="","",M14-E14)</x:f>
      </x:c>
      <x:c r="O14" s="90"/>
      <x:c r="P14" s="91" t="str">
        <x:f>IF(O14="","",O14-F14)</x:f>
      </x:c>
      <x:c r="Q14" s="90"/>
      <x:c r="R14" s="91" t="str">
        <x:f>IF(Q14="","",Q14-G14)</x:f>
      </x:c>
      <x:c r="S14" s="90"/>
      <x:c r="T14" s="91" t="str">
        <x:f>IF(OR(H14="",S14=""),"",S14-H14)</x:f>
      </x:c>
      <x:c r="U14" s="94"/>
      <x:c r="V14" s="100" t="str">
        <x:f>IF(I14="","",IF(ABS(J14)&lt;=5,"PASS","FAIL"))</x:f>
      </x:c>
      <x:c r="W14" s="100" t="str">
        <x:f>IF(K14="","",IF(ABS(L14)&lt;=5,"PASS","FAIL"))</x:f>
      </x:c>
      <x:c r="X14" s="100" t="str">
        <x:f>IF(M14="","",IF(ABS(N14)&lt;=1,"PASS","FAIL"))</x:f>
      </x:c>
      <x:c r="Y14" s="100" t="str">
        <x:f>IF(OR(O14="",Q14="",IF(H14="",FALSE,S14="")),"",IF(AND(ABS(P14)&lt;=5,ABS(R14)&lt;=5,IF(H14="",TRUE,ABS(T14)&lt;=5)),"PASS","FAIL"))</x:f>
      </x:c>
      <x:c r="Z14" s="100" t="str">
        <x:f>IF(U14="","",IF(U14&lt;=2000,"PASS","FAIL"))</x:f>
      </x:c>
      <x:c r="AA14" s="101" t="str">
        <x:f>IF(COUNTBLANK(V14:Z14)&gt;0,"",IF(COUNTIF(V14:Z14,"FAIL")=0,"PASS","FAIL"))</x:f>
      </x:c>
    </x:row>
    <x:row r="15">
      <x:c r="A15" s="96" t="n">
        <x:f>'测试用例'!A15</x:f>
        <x:v>11</x:v>
      </x:c>
      <x:c r="B15" s="97" t="n">
        <x:f>'测试用例'!B15</x:f>
        <x:v>1</x:v>
      </x:c>
      <x:c r="C15" s="58" t="n">
        <x:f>'测试用例'!E15</x:f>
        <x:v>110</x:v>
      </x:c>
      <x:c r="D15" s="58" t="n">
        <x:f>'测试用例'!W15</x:f>
        <x:v>34.45385619158416</x:v>
      </x:c>
      <x:c r="E15" s="58" t="n">
        <x:f>'测试用例'!F15</x:f>
        <x:v>20.5</x:v>
      </x:c>
      <x:c r="F15" s="58" t="n">
        <x:f>'测试用例'!Q15</x:f>
        <x:v>45.50195025267453</x:v>
      </x:c>
      <x:c r="G15" s="58" t="n">
        <x:f>'测试用例'!S15</x:f>
        <x:v>17.427246946774346</x:v>
      </x:c>
      <x:c r="H15" s="58" t="str">
        <x:f>'测试用例'!U15</x:f>
      </x:c>
      <x:c r="I15" s="90"/>
      <x:c r="J15" s="91" t="str">
        <x:f>IF(I15="","",I15-C15)</x:f>
      </x:c>
      <x:c r="K15" s="90"/>
      <x:c r="L15" s="91" t="str">
        <x:f>IF(K15="","",K15-D15)</x:f>
      </x:c>
      <x:c r="M15" s="90"/>
      <x:c r="N15" s="91" t="str">
        <x:f>IF(M15="","",M15-E15)</x:f>
      </x:c>
      <x:c r="O15" s="90"/>
      <x:c r="P15" s="91" t="str">
        <x:f>IF(O15="","",O15-F15)</x:f>
      </x:c>
      <x:c r="Q15" s="90"/>
      <x:c r="R15" s="91" t="str">
        <x:f>IF(Q15="","",Q15-G15)</x:f>
      </x:c>
      <x:c r="S15" s="90"/>
      <x:c r="T15" s="91" t="str">
        <x:f>IF(OR(H15="",S15=""),"",S15-H15)</x:f>
      </x:c>
      <x:c r="U15" s="94"/>
      <x:c r="V15" s="100" t="str">
        <x:f>IF(I15="","",IF(ABS(J15)&lt;=5,"PASS","FAIL"))</x:f>
      </x:c>
      <x:c r="W15" s="100" t="str">
        <x:f>IF(K15="","",IF(ABS(L15)&lt;=5,"PASS","FAIL"))</x:f>
      </x:c>
      <x:c r="X15" s="100" t="str">
        <x:f>IF(M15="","",IF(ABS(N15)&lt;=1,"PASS","FAIL"))</x:f>
      </x:c>
      <x:c r="Y15" s="100" t="str">
        <x:f>IF(OR(O15="",Q15="",IF(H15="",FALSE,S15="")),"",IF(AND(ABS(P15)&lt;=5,ABS(R15)&lt;=5,IF(H15="",TRUE,ABS(T15)&lt;=5)),"PASS","FAIL"))</x:f>
      </x:c>
      <x:c r="Z15" s="100" t="str">
        <x:f>IF(U15="","",IF(U15&lt;=2000,"PASS","FAIL"))</x:f>
      </x:c>
      <x:c r="AA15" s="101" t="str">
        <x:f>IF(COUNTBLANK(V15:Z15)&gt;0,"",IF(COUNTIF(V15:Z15,"FAIL")=0,"PASS","FAIL"))</x:f>
      </x:c>
    </x:row>
    <x:row r="16">
      <x:c r="A16" s="96" t="n">
        <x:f>'测试用例'!A16</x:f>
        <x:v>12</x:v>
      </x:c>
      <x:c r="B16" s="97" t="n">
        <x:f>'测试用例'!B16</x:f>
        <x:v>1</x:v>
      </x:c>
      <x:c r="C16" s="58" t="n">
        <x:f>'测试用例'!E16</x:f>
        <x:v>125</x:v>
      </x:c>
      <x:c r="D16" s="58" t="n">
        <x:f>'测试用例'!W16</x:f>
        <x:v>45.41038008099956</x:v>
      </x:c>
      <x:c r="E16" s="58" t="n">
        <x:f>'测试用例'!F16</x:f>
        <x:v>38.5</x:v>
      </x:c>
      <x:c r="F16" s="58" t="n">
        <x:f>'测试用例'!Q16</x:f>
        <x:v>55.00362364418923</x:v>
      </x:c>
      <x:c r="G16" s="58" t="n">
        <x:f>'测试用例'!S16</x:f>
        <x:v>28.326866176757456</x:v>
      </x:c>
      <x:c r="H16" s="58" t="n">
        <x:f>'测试用例'!U16</x:f>
        <x:v>17.21613420063123</x:v>
      </x:c>
      <x:c r="I16" s="90"/>
      <x:c r="J16" s="91" t="str">
        <x:f>IF(I16="","",I16-C16)</x:f>
      </x:c>
      <x:c r="K16" s="90"/>
      <x:c r="L16" s="91" t="str">
        <x:f>IF(K16="","",K16-D16)</x:f>
      </x:c>
      <x:c r="M16" s="90"/>
      <x:c r="N16" s="91" t="str">
        <x:f>IF(M16="","",M16-E16)</x:f>
      </x:c>
      <x:c r="O16" s="90"/>
      <x:c r="P16" s="91" t="str">
        <x:f>IF(O16="","",O16-F16)</x:f>
      </x:c>
      <x:c r="Q16" s="90"/>
      <x:c r="R16" s="91" t="str">
        <x:f>IF(Q16="","",Q16-G16)</x:f>
      </x:c>
      <x:c r="S16" s="90"/>
      <x:c r="T16" s="91" t="str">
        <x:f>IF(OR(H16="",S16=""),"",S16-H16)</x:f>
      </x:c>
      <x:c r="U16" s="94"/>
      <x:c r="V16" s="100" t="str">
        <x:f>IF(I16="","",IF(ABS(J16)&lt;=5,"PASS","FAIL"))</x:f>
      </x:c>
      <x:c r="W16" s="100" t="str">
        <x:f>IF(K16="","",IF(ABS(L16)&lt;=5,"PASS","FAIL"))</x:f>
      </x:c>
      <x:c r="X16" s="100" t="str">
        <x:f>IF(M16="","",IF(ABS(N16)&lt;=1,"PASS","FAIL"))</x:f>
      </x:c>
      <x:c r="Y16" s="100" t="str">
        <x:f>IF(OR(O16="",Q16="",IF(H16="",FALSE,S16="")),"",IF(AND(ABS(P16)&lt;=5,ABS(R16)&lt;=5,IF(H16="",TRUE,ABS(T16)&lt;=5)),"PASS","FAIL"))</x:f>
      </x:c>
      <x:c r="Z16" s="100" t="str">
        <x:f>IF(U16="","",IF(U16&lt;=2000,"PASS","FAIL"))</x:f>
      </x:c>
      <x:c r="AA16" s="101" t="str">
        <x:f>IF(COUNTBLANK(V16:Z16)&gt;0,"",IF(COUNTIF(V16:Z16,"FAIL")=0,"PASS","FAIL"))</x:f>
      </x:c>
    </x:row>
    <x:row r="17">
      <x:c r="A17" s="96" t="n">
        <x:f>'测试用例'!A17</x:f>
        <x:v>13</x:v>
      </x:c>
      <x:c r="B17" s="97" t="n">
        <x:f>'测试用例'!B17</x:f>
        <x:v>1</x:v>
      </x:c>
      <x:c r="C17" s="58" t="n">
        <x:f>'测试用例'!E17</x:f>
        <x:v>150</x:v>
      </x:c>
      <x:c r="D17" s="58" t="n">
        <x:f>'测试用例'!W17</x:f>
        <x:v>45.72494506447672</x:v>
      </x:c>
      <x:c r="E17" s="58" t="n">
        <x:f>'测试用例'!F17</x:f>
        <x:v>36</x:v>
      </x:c>
      <x:c r="F17" s="58" t="n">
        <x:f>'测试用例'!Q17</x:f>
        <x:v>49.13467673906024</x:v>
      </x:c>
      <x:c r="G17" s="58" t="n">
        <x:f>'测试用例'!S17</x:f>
        <x:v>37.34235432168578</x:v>
      </x:c>
      <x:c r="H17" s="58" t="n">
        <x:f>'测试用例'!U17</x:f>
        <x:v>19.309927958450675</x:v>
      </x:c>
      <x:c r="I17" s="90"/>
      <x:c r="J17" s="91" t="str">
        <x:f>IF(I17="","",I17-C17)</x:f>
      </x:c>
      <x:c r="K17" s="90"/>
      <x:c r="L17" s="91" t="str">
        <x:f>IF(K17="","",K17-D17)</x:f>
      </x:c>
      <x:c r="M17" s="90"/>
      <x:c r="N17" s="91" t="str">
        <x:f>IF(M17="","",M17-E17)</x:f>
      </x:c>
      <x:c r="O17" s="90"/>
      <x:c r="P17" s="91" t="str">
        <x:f>IF(O17="","",O17-F17)</x:f>
      </x:c>
      <x:c r="Q17" s="90"/>
      <x:c r="R17" s="91" t="str">
        <x:f>IF(Q17="","",Q17-G17)</x:f>
      </x:c>
      <x:c r="S17" s="90"/>
      <x:c r="T17" s="91" t="str">
        <x:f>IF(OR(H17="",S17=""),"",S17-H17)</x:f>
      </x:c>
      <x:c r="U17" s="94"/>
      <x:c r="V17" s="100" t="str">
        <x:f>IF(I17="","",IF(ABS(J17)&lt;=5,"PASS","FAIL"))</x:f>
      </x:c>
      <x:c r="W17" s="100" t="str">
        <x:f>IF(K17="","",IF(ABS(L17)&lt;=5,"PASS","FAIL"))</x:f>
      </x:c>
      <x:c r="X17" s="100" t="str">
        <x:f>IF(M17="","",IF(ABS(N17)&lt;=1,"PASS","FAIL"))</x:f>
      </x:c>
      <x:c r="Y17" s="100" t="str">
        <x:f>IF(OR(O17="",Q17="",IF(H17="",FALSE,S17="")),"",IF(AND(ABS(P17)&lt;=5,ABS(R17)&lt;=5,IF(H17="",TRUE,ABS(T17)&lt;=5)),"PASS","FAIL"))</x:f>
      </x:c>
      <x:c r="Z17" s="100" t="str">
        <x:f>IF(U17="","",IF(U17&lt;=2000,"PASS","FAIL"))</x:f>
      </x:c>
      <x:c r="AA17" s="101" t="str">
        <x:f>IF(COUNTBLANK(V17:Z17)&gt;0,"",IF(COUNTIF(V17:Z17,"FAIL")=0,"PASS","FAIL"))</x:f>
      </x:c>
    </x:row>
    <x:row r="18">
      <x:c r="A18" s="96" t="n">
        <x:f>'测试用例'!A18</x:f>
        <x:v>14</x:v>
      </x:c>
      <x:c r="B18" s="97" t="n">
        <x:f>'测试用例'!B18</x:f>
        <x:v>1</x:v>
      </x:c>
      <x:c r="C18" s="58" t="n">
        <x:f>'测试用例'!E18</x:f>
        <x:v>175</x:v>
      </x:c>
      <x:c r="D18" s="58" t="n">
        <x:f>'测试用例'!W18</x:f>
        <x:v>48.60577768157169</x:v>
      </x:c>
      <x:c r="E18" s="58" t="n">
        <x:f>'测试用例'!F18</x:f>
        <x:v>42</x:v>
      </x:c>
      <x:c r="F18" s="58" t="n">
        <x:f>'测试用例'!Q18</x:f>
        <x:v>46.04892271351018</x:v>
      </x:c>
      <x:c r="G18" s="58" t="n">
        <x:f>'测试用例'!S18</x:f>
        <x:v>45.91077594536965</x:v>
      </x:c>
      <x:c r="H18" s="58" t="n">
        <x:f>'测试用例'!U18</x:f>
        <x:v>22.287678593338928</x:v>
      </x:c>
      <x:c r="I18" s="90"/>
      <x:c r="J18" s="91" t="str">
        <x:f>IF(I18="","",I18-C18)</x:f>
      </x:c>
      <x:c r="K18" s="90"/>
      <x:c r="L18" s="91" t="str">
        <x:f>IF(K18="","",K18-D18)</x:f>
      </x:c>
      <x:c r="M18" s="90"/>
      <x:c r="N18" s="91" t="str">
        <x:f>IF(M18="","",M18-E18)</x:f>
      </x:c>
      <x:c r="O18" s="90"/>
      <x:c r="P18" s="91" t="str">
        <x:f>IF(O18="","",O18-F18)</x:f>
      </x:c>
      <x:c r="Q18" s="90"/>
      <x:c r="R18" s="91" t="str">
        <x:f>IF(Q18="","",Q18-G18)</x:f>
      </x:c>
      <x:c r="S18" s="90"/>
      <x:c r="T18" s="91" t="str">
        <x:f>IF(OR(H18="",S18=""),"",S18-H18)</x:f>
      </x:c>
      <x:c r="U18" s="94"/>
      <x:c r="V18" s="100" t="str">
        <x:f>IF(I18="","",IF(ABS(J18)&lt;=5,"PASS","FAIL"))</x:f>
      </x:c>
      <x:c r="W18" s="100" t="str">
        <x:f>IF(K18="","",IF(ABS(L18)&lt;=5,"PASS","FAIL"))</x:f>
      </x:c>
      <x:c r="X18" s="100" t="str">
        <x:f>IF(M18="","",IF(ABS(N18)&lt;=1,"PASS","FAIL"))</x:f>
      </x:c>
      <x:c r="Y18" s="100" t="str">
        <x:f>IF(OR(O18="",Q18="",IF(H18="",FALSE,S18="")),"",IF(AND(ABS(P18)&lt;=5,ABS(R18)&lt;=5,IF(H18="",TRUE,ABS(T18)&lt;=5)),"PASS","FAIL"))</x:f>
      </x:c>
      <x:c r="Z18" s="100" t="str">
        <x:f>IF(U18="","",IF(U18&lt;=2000,"PASS","FAIL"))</x:f>
      </x:c>
      <x:c r="AA18" s="101" t="str">
        <x:f>IF(COUNTBLANK(V18:Z18)&gt;0,"",IF(COUNTIF(V18:Z18,"FAIL")=0,"PASS","FAIL"))</x:f>
      </x:c>
    </x:row>
    <x:row r="19">
      <x:c r="A19" s="96" t="n">
        <x:f>'测试用例'!A19</x:f>
        <x:v>15</x:v>
      </x:c>
      <x:c r="B19" s="97" t="n">
        <x:f>'测试用例'!B19</x:f>
        <x:v>1</x:v>
      </x:c>
      <x:c r="C19" s="58" t="n">
        <x:f>'测试用例'!E19</x:f>
        <x:v>200</x:v>
      </x:c>
      <x:c r="D19" s="58" t="n">
        <x:f>'测试用例'!W19</x:f>
        <x:v>64.9726879243483</x:v>
      </x:c>
      <x:c r="E19" s="58" t="n">
        <x:f>'测试用例'!F19</x:f>
        <x:v>38.5</x:v>
      </x:c>
      <x:c r="F19" s="58" t="n">
        <x:f>'测试用例'!Q19</x:f>
        <x:v>87.87618457079655</x:v>
      </x:c>
      <x:c r="G19" s="58" t="n">
        <x:f>'测试用例'!S19</x:f>
        <x:v>22.75993180383631</x:v>
      </x:c>
      <x:c r="H19" s="58" t="n">
        <x:f>'测试用例'!U19</x:f>
        <x:v>14.235941900469042</x:v>
      </x:c>
      <x:c r="I19" s="90"/>
      <x:c r="J19" s="91" t="str">
        <x:f>IF(I19="","",I19-C19)</x:f>
      </x:c>
      <x:c r="K19" s="90"/>
      <x:c r="L19" s="91" t="str">
        <x:f>IF(K19="","",K19-D19)</x:f>
      </x:c>
      <x:c r="M19" s="90"/>
      <x:c r="N19" s="91" t="str">
        <x:f>IF(M19="","",M19-E19)</x:f>
      </x:c>
      <x:c r="O19" s="90"/>
      <x:c r="P19" s="91" t="str">
        <x:f>IF(O19="","",O19-F19)</x:f>
      </x:c>
      <x:c r="Q19" s="90"/>
      <x:c r="R19" s="91" t="str">
        <x:f>IF(Q19="","",Q19-G19)</x:f>
      </x:c>
      <x:c r="S19" s="90"/>
      <x:c r="T19" s="91" t="str">
        <x:f>IF(OR(H19="",S19=""),"",S19-H19)</x:f>
      </x:c>
      <x:c r="U19" s="94"/>
      <x:c r="V19" s="100" t="str">
        <x:f>IF(I19="","",IF(ABS(J19)&lt;=5,"PASS","FAIL"))</x:f>
      </x:c>
      <x:c r="W19" s="100" t="str">
        <x:f>IF(K19="","",IF(ABS(L19)&lt;=5,"PASS","FAIL"))</x:f>
      </x:c>
      <x:c r="X19" s="100" t="str">
        <x:f>IF(M19="","",IF(ABS(N19)&lt;=1,"PASS","FAIL"))</x:f>
      </x:c>
      <x:c r="Y19" s="100" t="str">
        <x:f>IF(OR(O19="",Q19="",IF(H19="",FALSE,S19="")),"",IF(AND(ABS(P19)&lt;=5,ABS(R19)&lt;=5,IF(H19="",TRUE,ABS(T19)&lt;=5)),"PASS","FAIL"))</x:f>
      </x:c>
      <x:c r="Z19" s="100" t="str">
        <x:f>IF(U19="","",IF(U19&lt;=2000,"PASS","FAIL"))</x:f>
      </x:c>
      <x:c r="AA19" s="101" t="str">
        <x:f>IF(COUNTBLANK(V19:Z19)&gt;0,"",IF(COUNTIF(V19:Z19,"FAIL")=0,"PASS","FAIL"))</x:f>
      </x:c>
    </x:row>
    <x:row r="20">
      <x:c r="A20" s="96" t="n">
        <x:f>'测试用例'!A20</x:f>
        <x:v>16</x:v>
      </x:c>
      <x:c r="B20" s="97" t="n">
        <x:f>'测试用例'!B20</x:f>
        <x:v>1</x:v>
      </x:c>
      <x:c r="C20" s="58" t="n">
        <x:f>'测试用例'!E20</x:f>
        <x:v>225</x:v>
      </x:c>
      <x:c r="D20" s="58" t="n">
        <x:f>'测试用例'!W20</x:f>
        <x:v>63.4145899234955</x:v>
      </x:c>
      <x:c r="E20" s="58" t="n">
        <x:f>'测试用例'!F20</x:f>
        <x:v>40</x:v>
      </x:c>
      <x:c r="F20" s="58" t="n">
        <x:f>'测试用例'!Q20</x:f>
        <x:v>81.64827289027713</x:v>
      </x:c>
      <x:c r="G20" s="58" t="n">
        <x:f>'测试用例'!S20</x:f>
        <x:v>33.31249533923307</x:v>
      </x:c>
      <x:c r="H20" s="58" t="n">
        <x:f>'测试用例'!U20</x:f>
        <x:v>16.329654578055425</x:v>
      </x:c>
      <x:c r="I20" s="90"/>
      <x:c r="J20" s="91" t="str">
        <x:f>IF(I20="","",I20-C20)</x:f>
      </x:c>
      <x:c r="K20" s="90"/>
      <x:c r="L20" s="91" t="str">
        <x:f>IF(K20="","",K20-D20)</x:f>
      </x:c>
      <x:c r="M20" s="90"/>
      <x:c r="N20" s="91" t="str">
        <x:f>IF(M20="","",M20-E20)</x:f>
      </x:c>
      <x:c r="O20" s="90"/>
      <x:c r="P20" s="91" t="str">
        <x:f>IF(O20="","",O20-F20)</x:f>
      </x:c>
      <x:c r="Q20" s="90"/>
      <x:c r="R20" s="91" t="str">
        <x:f>IF(Q20="","",Q20-G20)</x:f>
      </x:c>
      <x:c r="S20" s="90"/>
      <x:c r="T20" s="91" t="str">
        <x:f>IF(OR(H20="",S20=""),"",S20-H20)</x:f>
      </x:c>
      <x:c r="U20" s="94"/>
      <x:c r="V20" s="100" t="str">
        <x:f>IF(I20="","",IF(ABS(J20)&lt;=5,"PASS","FAIL"))</x:f>
      </x:c>
      <x:c r="W20" s="100" t="str">
        <x:f>IF(K20="","",IF(ABS(L20)&lt;=5,"PASS","FAIL"))</x:f>
      </x:c>
      <x:c r="X20" s="100" t="str">
        <x:f>IF(M20="","",IF(ABS(N20)&lt;=1,"PASS","FAIL"))</x:f>
      </x:c>
      <x:c r="Y20" s="100" t="str">
        <x:f>IF(OR(O20="",Q20="",IF(H20="",FALSE,S20="")),"",IF(AND(ABS(P20)&lt;=5,ABS(R20)&lt;=5,IF(H20="",TRUE,ABS(T20)&lt;=5)),"PASS","FAIL"))</x:f>
      </x:c>
      <x:c r="Z20" s="100" t="str">
        <x:f>IF(U20="","",IF(U20&lt;=2000,"PASS","FAIL"))</x:f>
      </x:c>
      <x:c r="AA20" s="101" t="str">
        <x:f>IF(COUNTBLANK(V20:Z20)&gt;0,"",IF(COUNTIF(V20:Z20,"FAIL")=0,"PASS","FAIL"))</x:f>
      </x:c>
    </x:row>
    <x:row r="21">
      <x:c r="A21" s="96" t="n">
        <x:f>'测试用例'!A21</x:f>
        <x:v>17</x:v>
      </x:c>
      <x:c r="B21" s="97" t="n">
        <x:f>'测试用例'!B21</x:f>
        <x:v>1</x:v>
      </x:c>
      <x:c r="C21" s="58" t="n">
        <x:f>'测试用例'!E21</x:f>
        <x:v>240</x:v>
      </x:c>
      <x:c r="D21" s="58" t="n">
        <x:f>'测试用例'!W21</x:f>
        <x:v>71.38656700486419</x:v>
      </x:c>
      <x:c r="E21" s="58" t="n">
        <x:f>'测试用例'!F21</x:f>
        <x:v>10</x:v>
      </x:c>
      <x:c r="F21" s="58" t="n">
        <x:f>'测试用例'!Q21</x:f>
        <x:v>86.72159058397548</x:v>
      </x:c>
      <x:c r="G21" s="58" t="n">
        <x:f>'测试用例'!S21</x:f>
        <x:v>51.68606798804939</x:v>
      </x:c>
      <x:c r="H21" s="58" t="str">
        <x:f>'测试用例'!U21</x:f>
      </x:c>
      <x:c r="I21" s="90"/>
      <x:c r="J21" s="91" t="str">
        <x:f>IF(I21="","",I21-C21)</x:f>
      </x:c>
      <x:c r="K21" s="90"/>
      <x:c r="L21" s="91" t="str">
        <x:f>IF(K21="","",K21-D21)</x:f>
      </x:c>
      <x:c r="M21" s="90"/>
      <x:c r="N21" s="91" t="str">
        <x:f>IF(M21="","",M21-E21)</x:f>
      </x:c>
      <x:c r="O21" s="90"/>
      <x:c r="P21" s="91" t="str">
        <x:f>IF(O21="","",O21-F21)</x:f>
      </x:c>
      <x:c r="Q21" s="90"/>
      <x:c r="R21" s="91" t="str">
        <x:f>IF(Q21="","",Q21-G21)</x:f>
      </x:c>
      <x:c r="S21" s="90"/>
      <x:c r="T21" s="91" t="str">
        <x:f>IF(OR(H21="",S21=""),"",S21-H21)</x:f>
      </x:c>
      <x:c r="U21" s="94"/>
      <x:c r="V21" s="100" t="str">
        <x:f>IF(I21="","",IF(ABS(J21)&lt;=5,"PASS","FAIL"))</x:f>
      </x:c>
      <x:c r="W21" s="100" t="str">
        <x:f>IF(K21="","",IF(ABS(L21)&lt;=5,"PASS","FAIL"))</x:f>
      </x:c>
      <x:c r="X21" s="100" t="str">
        <x:f>IF(M21="","",IF(ABS(N21)&lt;=1,"PASS","FAIL"))</x:f>
      </x:c>
      <x:c r="Y21" s="100" t="str">
        <x:f>IF(OR(O21="",Q21="",IF(H21="",FALSE,S21="")),"",IF(AND(ABS(P21)&lt;=5,ABS(R21)&lt;=5,IF(H21="",TRUE,ABS(T21)&lt;=5)),"PASS","FAIL"))</x:f>
      </x:c>
      <x:c r="Z21" s="100" t="str">
        <x:f>IF(U21="","",IF(U21&lt;=2000,"PASS","FAIL"))</x:f>
      </x:c>
      <x:c r="AA21" s="101" t="str">
        <x:f>IF(COUNTBLANK(V21:Z21)&gt;0,"",IF(COUNTIF(V21:Z21,"FAIL")=0,"PASS","FAIL"))</x:f>
      </x:c>
    </x:row>
    <x:row r="22">
      <x:c r="A22" s="96" t="n">
        <x:f>'测试用例'!A22</x:f>
        <x:v>18</x:v>
      </x:c>
      <x:c r="B22" s="97" t="n">
        <x:f>'测试用例'!B22</x:f>
        <x:v>1</x:v>
      </x:c>
      <x:c r="C22" s="58" t="n">
        <x:f>'测试用例'!E22</x:f>
        <x:v>250</x:v>
      </x:c>
      <x:c r="D22" s="58" t="n">
        <x:f>'测试用例'!W22</x:f>
        <x:v>67.28879206822853</x:v>
      </x:c>
      <x:c r="E22" s="58" t="n">
        <x:f>'测试用例'!F22</x:f>
        <x:v>21.5</x:v>
      </x:c>
      <x:c r="F22" s="58" t="n">
        <x:f>'测试用例'!Q22</x:f>
        <x:v>74.16311128611972</x:v>
      </x:c>
      <x:c r="G22" s="58" t="n">
        <x:f>'测试用例'!S22</x:f>
        <x:v>59.62714147404026</x:v>
      </x:c>
      <x:c r="H22" s="58" t="str">
        <x:f>'测试用例'!U22</x:f>
      </x:c>
      <x:c r="I22" s="90"/>
      <x:c r="J22" s="91" t="str">
        <x:f>IF(I22="","",I22-C22)</x:f>
      </x:c>
      <x:c r="K22" s="90"/>
      <x:c r="L22" s="91" t="str">
        <x:f>IF(K22="","",K22-D22)</x:f>
      </x:c>
      <x:c r="M22" s="90"/>
      <x:c r="N22" s="91" t="str">
        <x:f>IF(M22="","",M22-E22)</x:f>
      </x:c>
      <x:c r="O22" s="90"/>
      <x:c r="P22" s="91" t="str">
        <x:f>IF(O22="","",O22-F22)</x:f>
      </x:c>
      <x:c r="Q22" s="90"/>
      <x:c r="R22" s="91" t="str">
        <x:f>IF(Q22="","",Q22-G22)</x:f>
      </x:c>
      <x:c r="S22" s="90"/>
      <x:c r="T22" s="91" t="str">
        <x:f>IF(OR(H22="",S22=""),"",S22-H22)</x:f>
      </x:c>
      <x:c r="U22" s="94"/>
      <x:c r="V22" s="100" t="str">
        <x:f>IF(I22="","",IF(ABS(J22)&lt;=5,"PASS","FAIL"))</x:f>
      </x:c>
      <x:c r="W22" s="100" t="str">
        <x:f>IF(K22="","",IF(ABS(L22)&lt;=5,"PASS","FAIL"))</x:f>
      </x:c>
      <x:c r="X22" s="100" t="str">
        <x:f>IF(M22="","",IF(ABS(N22)&lt;=1,"PASS","FAIL"))</x:f>
      </x:c>
      <x:c r="Y22" s="100" t="str">
        <x:f>IF(OR(O22="",Q22="",IF(H22="",FALSE,S22="")),"",IF(AND(ABS(P22)&lt;=5,ABS(R22)&lt;=5,IF(H22="",TRUE,ABS(T22)&lt;=5)),"PASS","FAIL"))</x:f>
      </x:c>
      <x:c r="Z22" s="100" t="str">
        <x:f>IF(U22="","",IF(U22&lt;=2000,"PASS","FAIL"))</x:f>
      </x:c>
      <x:c r="AA22" s="101" t="str">
        <x:f>IF(COUNTBLANK(V22:Z22)&gt;0,"",IF(COUNTIF(V22:Z22,"FAIL")=0,"PASS","FAIL"))</x:f>
      </x:c>
    </x:row>
    <x:row r="23">
      <x:c r="A23" s="96" t="n">
        <x:f>'测试用例'!A23</x:f>
        <x:v>19</x:v>
      </x:c>
      <x:c r="B23" s="97" t="n">
        <x:f>'测试用例'!B23</x:f>
        <x:v>1</x:v>
      </x:c>
      <x:c r="C23" s="58" t="n">
        <x:f>'测试用例'!E23</x:f>
        <x:v>100</x:v>
      </x:c>
      <x:c r="D23" s="58" t="n">
        <x:f>'测试用例'!W23</x:f>
        <x:v>25.929153233498166</x:v>
      </x:c>
      <x:c r="E23" s="58" t="n">
        <x:f>'测试用例'!F23</x:f>
        <x:v>24</x:v>
      </x:c>
      <x:c r="F23" s="58" t="n">
        <x:f>'测试用例'!Q23</x:f>
        <x:v>25.87734688838185</x:v>
      </x:c>
      <x:c r="G23" s="58" t="n">
        <x:f>'测试用例'!S23</x:f>
        <x:v>25.980856275935377</x:v>
      </x:c>
      <x:c r="H23" s="58" t="str">
        <x:f>'测试用例'!U23</x:f>
      </x:c>
      <x:c r="I23" s="90"/>
      <x:c r="J23" s="91" t="str">
        <x:f>IF(I23="","",I23-C23)</x:f>
      </x:c>
      <x:c r="K23" s="90"/>
      <x:c r="L23" s="91" t="str">
        <x:f>IF(K23="","",K23-D23)</x:f>
      </x:c>
      <x:c r="M23" s="90"/>
      <x:c r="N23" s="91" t="str">
        <x:f>IF(M23="","",M23-E23)</x:f>
      </x:c>
      <x:c r="O23" s="90"/>
      <x:c r="P23" s="91" t="str">
        <x:f>IF(O23="","",O23-F23)</x:f>
      </x:c>
      <x:c r="Q23" s="90"/>
      <x:c r="R23" s="91" t="str">
        <x:f>IF(Q23="","",Q23-G23)</x:f>
      </x:c>
      <x:c r="S23" s="90"/>
      <x:c r="T23" s="91" t="str">
        <x:f>IF(OR(H23="",S23=""),"",S23-H23)</x:f>
      </x:c>
      <x:c r="U23" s="94"/>
      <x:c r="V23" s="100" t="str">
        <x:f>IF(I23="","",IF(ABS(J23)&lt;=5,"PASS","FAIL"))</x:f>
      </x:c>
      <x:c r="W23" s="100" t="str">
        <x:f>IF(K23="","",IF(ABS(L23)&lt;=5,"PASS","FAIL"))</x:f>
      </x:c>
      <x:c r="X23" s="100" t="str">
        <x:f>IF(M23="","",IF(ABS(N23)&lt;=1,"PASS","FAIL"))</x:f>
      </x:c>
      <x:c r="Y23" s="100" t="str">
        <x:f>IF(OR(O23="",Q23="",IF(H23="",FALSE,S23="")),"",IF(AND(ABS(P23)&lt;=5,ABS(R23)&lt;=5,IF(H23="",TRUE,ABS(T23)&lt;=5)),"PASS","FAIL"))</x:f>
      </x:c>
      <x:c r="Z23" s="100" t="str">
        <x:f>IF(U23="","",IF(U23&lt;=2000,"PASS","FAIL"))</x:f>
      </x:c>
      <x:c r="AA23" s="101" t="str">
        <x:f>IF(COUNTBLANK(V23:Z23)&gt;0,"",IF(COUNTIF(V23:Z23,"FAIL")=0,"PASS","FAIL"))</x:f>
      </x:c>
    </x:row>
    <x:row r="24">
      <x:c r="A24" s="96" t="n">
        <x:f>'测试用例'!A24</x:f>
        <x:v>20</x:v>
      </x:c>
      <x:c r="B24" s="97" t="n">
        <x:f>'测试用例'!B24</x:f>
        <x:v>1</x:v>
      </x:c>
      <x:c r="C24" s="58" t="n">
        <x:f>'测试用例'!E24</x:f>
        <x:v>110</x:v>
      </x:c>
      <x:c r="D24" s="58" t="n">
        <x:f>'测试用例'!W24</x:f>
        <x:v>32.36339960219049</x:v>
      </x:c>
      <x:c r="E24" s="58" t="n">
        <x:f>'测试用例'!F24</x:f>
        <x:v>25</x:v>
      </x:c>
      <x:c r="F24" s="58" t="n">
        <x:f>'测试用例'!Q24</x:f>
        <x:v>44.4126482970328</x:v>
      </x:c>
      <x:c r="G24" s="58" t="n">
        <x:f>'测试用例'!S24</x:f>
        <x:v>11.058749425961167</x:v>
      </x:c>
      <x:c r="H24" s="58" t="str">
        <x:f>'测试用例'!U24</x:f>
      </x:c>
      <x:c r="I24" s="90"/>
      <x:c r="J24" s="91" t="str">
        <x:f>IF(I24="","",I24-C24)</x:f>
      </x:c>
      <x:c r="K24" s="90"/>
      <x:c r="L24" s="91" t="str">
        <x:f>IF(K24="","",K24-D24)</x:f>
      </x:c>
      <x:c r="M24" s="90"/>
      <x:c r="N24" s="91" t="str">
        <x:f>IF(M24="","",M24-E24)</x:f>
      </x:c>
      <x:c r="O24" s="90"/>
      <x:c r="P24" s="91" t="str">
        <x:f>IF(O24="","",O24-F24)</x:f>
      </x:c>
      <x:c r="Q24" s="90"/>
      <x:c r="R24" s="91" t="str">
        <x:f>IF(Q24="","",Q24-G24)</x:f>
      </x:c>
      <x:c r="S24" s="90"/>
      <x:c r="T24" s="91" t="str">
        <x:f>IF(OR(H24="",S24=""),"",S24-H24)</x:f>
      </x:c>
      <x:c r="U24" s="94"/>
      <x:c r="V24" s="100" t="str">
        <x:f>IF(I24="","",IF(ABS(J24)&lt;=5,"PASS","FAIL"))</x:f>
      </x:c>
      <x:c r="W24" s="100" t="str">
        <x:f>IF(K24="","",IF(ABS(L24)&lt;=5,"PASS","FAIL"))</x:f>
      </x:c>
      <x:c r="X24" s="100" t="str">
        <x:f>IF(M24="","",IF(ABS(N24)&lt;=1,"PASS","FAIL"))</x:f>
      </x:c>
      <x:c r="Y24" s="100" t="str">
        <x:f>IF(OR(O24="",Q24="",IF(H24="",FALSE,S24="")),"",IF(AND(ABS(P24)&lt;=5,ABS(R24)&lt;=5,IF(H24="",TRUE,ABS(T24)&lt;=5)),"PASS","FAIL"))</x:f>
      </x:c>
      <x:c r="Z24" s="100" t="str">
        <x:f>IF(U24="","",IF(U24&lt;=2000,"PASS","FAIL"))</x:f>
      </x:c>
      <x:c r="AA24" s="101" t="str">
        <x:f>IF(COUNTBLANK(V24:Z24)&gt;0,"",IF(COUNTIF(V24:Z24,"FAIL")=0,"PASS","FAIL"))</x:f>
      </x:c>
    </x:row>
    <x:row r="25">
      <x:c r="A25" s="96" t="n">
        <x:f>'测试用例'!A25</x:f>
        <x:v>21</x:v>
      </x:c>
      <x:c r="B25" s="97" t="n">
        <x:f>'测试用例'!B25</x:f>
        <x:v>1</x:v>
      </x:c>
      <x:c r="C25" s="58" t="n">
        <x:f>'测试用例'!E25</x:f>
        <x:v>125</x:v>
      </x:c>
      <x:c r="D25" s="58" t="n">
        <x:f>'测试用例'!W25</x:f>
        <x:v>40.556785398835885</x:v>
      </x:c>
      <x:c r="E25" s="58" t="n">
        <x:f>'测试用例'!F25</x:f>
        <x:v>47</x:v>
      </x:c>
      <x:c r="F25" s="58" t="n">
        <x:f>'测试用例'!Q25</x:f>
        <x:v>51.99703250956453</x:v>
      </x:c>
      <x:c r="G25" s="58" t="n">
        <x:f>'测试用例'!S25</x:f>
        <x:v>21.578768491469276</x:v>
      </x:c>
      <x:c r="H25" s="58" t="n">
        <x:f>'测试用例'!U25</x:f>
        <x:v>10.971373859518115</x:v>
      </x:c>
      <x:c r="I25" s="90"/>
      <x:c r="J25" s="91" t="str">
        <x:f>IF(I25="","",I25-C25)</x:f>
      </x:c>
      <x:c r="K25" s="90"/>
      <x:c r="L25" s="91" t="str">
        <x:f>IF(K25="","",K25-D25)</x:f>
      </x:c>
      <x:c r="M25" s="90"/>
      <x:c r="N25" s="91" t="str">
        <x:f>IF(M25="","",M25-E25)</x:f>
      </x:c>
      <x:c r="O25" s="90"/>
      <x:c r="P25" s="91" t="str">
        <x:f>IF(O25="","",O25-F25)</x:f>
      </x:c>
      <x:c r="Q25" s="90"/>
      <x:c r="R25" s="91" t="str">
        <x:f>IF(Q25="","",Q25-G25)</x:f>
      </x:c>
      <x:c r="S25" s="90"/>
      <x:c r="T25" s="91" t="str">
        <x:f>IF(OR(H25="",S25=""),"",S25-H25)</x:f>
      </x:c>
      <x:c r="U25" s="94"/>
      <x:c r="V25" s="100" t="str">
        <x:f>IF(I25="","",IF(ABS(J25)&lt;=5,"PASS","FAIL"))</x:f>
      </x:c>
      <x:c r="W25" s="100" t="str">
        <x:f>IF(K25="","",IF(ABS(L25)&lt;=5,"PASS","FAIL"))</x:f>
      </x:c>
      <x:c r="X25" s="100" t="str">
        <x:f>IF(M25="","",IF(ABS(N25)&lt;=1,"PASS","FAIL"))</x:f>
      </x:c>
      <x:c r="Y25" s="100" t="str">
        <x:f>IF(OR(O25="",Q25="",IF(H25="",FALSE,S25="")),"",IF(AND(ABS(P25)&lt;=5,ABS(R25)&lt;=5,IF(H25="",TRUE,ABS(T25)&lt;=5)),"PASS","FAIL"))</x:f>
      </x:c>
      <x:c r="Z25" s="100" t="str">
        <x:f>IF(U25="","",IF(U25&lt;=2000,"PASS","FAIL"))</x:f>
      </x:c>
      <x:c r="AA25" s="101" t="str">
        <x:f>IF(COUNTBLANK(V25:Z25)&gt;0,"",IF(COUNTIF(V25:Z25,"FAIL")=0,"PASS","FAIL"))</x:f>
      </x:c>
    </x:row>
    <x:row r="26">
      <x:c r="A26" s="96" t="n">
        <x:f>'测试用例'!A26</x:f>
        <x:v>22</x:v>
      </x:c>
      <x:c r="B26" s="97" t="n">
        <x:f>'测试用例'!B26</x:f>
        <x:v>1</x:v>
      </x:c>
      <x:c r="C26" s="58" t="n">
        <x:f>'测试用例'!E26</x:f>
        <x:v>150</x:v>
      </x:c>
      <x:c r="D26" s="58" t="n">
        <x:f>'测试用例'!W26</x:f>
        <x:v>46.65843568892942</x:v>
      </x:c>
      <x:c r="E26" s="58" t="n">
        <x:f>'测试用例'!F26</x:f>
        <x:v>42</x:v>
      </x:c>
      <x:c r="F26" s="58" t="n">
        <x:f>'测试用例'!Q26</x:f>
        <x:v>56.77851768403306</x:v>
      </x:c>
      <x:c r="G26" s="58" t="n">
        <x:f>'测试用例'!S26</x:f>
        <x:v>29.46805067801316</x:v>
      </x:c>
      <x:c r="H26" s="58" t="n">
        <x:f>'测试用例'!U26</x:f>
        <x:v>16.181877539949422</x:v>
      </x:c>
      <x:c r="I26" s="90"/>
      <x:c r="J26" s="91" t="str">
        <x:f>IF(I26="","",I26-C26)</x:f>
      </x:c>
      <x:c r="K26" s="90"/>
      <x:c r="L26" s="91" t="str">
        <x:f>IF(K26="","",K26-D26)</x:f>
      </x:c>
      <x:c r="M26" s="90"/>
      <x:c r="N26" s="91" t="str">
        <x:f>IF(M26="","",M26-E26)</x:f>
      </x:c>
      <x:c r="O26" s="90"/>
      <x:c r="P26" s="91" t="str">
        <x:f>IF(O26="","",O26-F26)</x:f>
      </x:c>
      <x:c r="Q26" s="90"/>
      <x:c r="R26" s="91" t="str">
        <x:f>IF(Q26="","",Q26-G26)</x:f>
      </x:c>
      <x:c r="S26" s="90"/>
      <x:c r="T26" s="91" t="str">
        <x:f>IF(OR(H26="",S26=""),"",S26-H26)</x:f>
      </x:c>
      <x:c r="U26" s="94"/>
      <x:c r="V26" s="100" t="str">
        <x:f>IF(I26="","",IF(ABS(J26)&lt;=5,"PASS","FAIL"))</x:f>
      </x:c>
      <x:c r="W26" s="100" t="str">
        <x:f>IF(K26="","",IF(ABS(L26)&lt;=5,"PASS","FAIL"))</x:f>
      </x:c>
      <x:c r="X26" s="100" t="str">
        <x:f>IF(M26="","",IF(ABS(N26)&lt;=1,"PASS","FAIL"))</x:f>
      </x:c>
      <x:c r="Y26" s="100" t="str">
        <x:f>IF(OR(O26="",Q26="",IF(H26="",FALSE,S26="")),"",IF(AND(ABS(P26)&lt;=5,ABS(R26)&lt;=5,IF(H26="",TRUE,ABS(T26)&lt;=5)),"PASS","FAIL"))</x:f>
      </x:c>
      <x:c r="Z26" s="100" t="str">
        <x:f>IF(U26="","",IF(U26&lt;=2000,"PASS","FAIL"))</x:f>
      </x:c>
      <x:c r="AA26" s="101" t="str">
        <x:f>IF(COUNTBLANK(V26:Z26)&gt;0,"",IF(COUNTIF(V26:Z26,"FAIL")=0,"PASS","FAIL"))</x:f>
      </x:c>
    </x:row>
    <x:row r="27">
      <x:c r="A27" s="96" t="n">
        <x:f>'测试用例'!A27</x:f>
        <x:v>23</x:v>
      </x:c>
      <x:c r="B27" s="97" t="n">
        <x:f>'测试用例'!B27</x:f>
        <x:v>1</x:v>
      </x:c>
      <x:c r="C27" s="58" t="n">
        <x:f>'测试用例'!E27</x:f>
        <x:v>175</x:v>
      </x:c>
      <x:c r="D27" s="58" t="n">
        <x:f>'测试用例'!W27</x:f>
        <x:v>44.839151023408924</x:v>
      </x:c>
      <x:c r="E27" s="58" t="n">
        <x:f>'测试用例'!F27</x:f>
        <x:v>48</x:v>
      </x:c>
      <x:c r="F27" s="58" t="n">
        <x:f>'测试用例'!Q27</x:f>
        <x:v>48.14032276379136</x:v>
      </x:c>
      <x:c r="G27" s="58" t="n">
        <x:f>'测试用例'!S27</x:f>
        <x:v>36.249663041134895</x:v>
      </x:c>
      <x:c r="H27" s="58" t="n">
        <x:f>'测试用例'!U27</x:f>
        <x:v>19.737532333154455</x:v>
      </x:c>
      <x:c r="I27" s="90"/>
      <x:c r="J27" s="91" t="str">
        <x:f>IF(I27="","",I27-C27)</x:f>
      </x:c>
      <x:c r="K27" s="90"/>
      <x:c r="L27" s="91" t="str">
        <x:f>IF(K27="","",K27-D27)</x:f>
      </x:c>
      <x:c r="M27" s="90"/>
      <x:c r="N27" s="91" t="str">
        <x:f>IF(M27="","",M27-E27)</x:f>
      </x:c>
      <x:c r="O27" s="90"/>
      <x:c r="P27" s="91" t="str">
        <x:f>IF(O27="","",O27-F27)</x:f>
      </x:c>
      <x:c r="Q27" s="90"/>
      <x:c r="R27" s="91" t="str">
        <x:f>IF(Q27="","",Q27-G27)</x:f>
      </x:c>
      <x:c r="S27" s="90"/>
      <x:c r="T27" s="91" t="str">
        <x:f>IF(OR(H27="",S27=""),"",S27-H27)</x:f>
      </x:c>
      <x:c r="U27" s="94"/>
      <x:c r="V27" s="100" t="str">
        <x:f>IF(I27="","",IF(ABS(J27)&lt;=5,"PASS","FAIL"))</x:f>
      </x:c>
      <x:c r="W27" s="100" t="str">
        <x:f>IF(K27="","",IF(ABS(L27)&lt;=5,"PASS","FAIL"))</x:f>
      </x:c>
      <x:c r="X27" s="100" t="str">
        <x:f>IF(M27="","",IF(ABS(N27)&lt;=1,"PASS","FAIL"))</x:f>
      </x:c>
      <x:c r="Y27" s="100" t="str">
        <x:f>IF(OR(O27="",Q27="",IF(H27="",FALSE,S27="")),"",IF(AND(ABS(P27)&lt;=5,ABS(R27)&lt;=5,IF(H27="",TRUE,ABS(T27)&lt;=5)),"PASS","FAIL"))</x:f>
      </x:c>
      <x:c r="Z27" s="100" t="str">
        <x:f>IF(U27="","",IF(U27&lt;=2000,"PASS","FAIL"))</x:f>
      </x:c>
      <x:c r="AA27" s="101" t="str">
        <x:f>IF(COUNTBLANK(V27:Z27)&gt;0,"",IF(COUNTIF(V27:Z27,"FAIL")=0,"PASS","FAIL"))</x:f>
      </x:c>
    </x:row>
    <x:row r="28">
      <x:c r="A28" s="96" t="n">
        <x:f>'测试用例'!A28</x:f>
        <x:v>24</x:v>
      </x:c>
      <x:c r="B28" s="97" t="n">
        <x:f>'测试用例'!B28</x:f>
        <x:v>1</x:v>
      </x:c>
      <x:c r="C28" s="58" t="n">
        <x:f>'测试用例'!E28</x:f>
        <x:v>200</x:v>
      </x:c>
      <x:c r="D28" s="58" t="n">
        <x:f>'测试用例'!W28</x:f>
        <x:v>58.36720650048066</x:v>
      </x:c>
      <x:c r="E28" s="58" t="n">
        <x:f>'测试用例'!F28</x:f>
        <x:v>40</x:v>
      </x:c>
      <x:c r="F28" s="58" t="n">
        <x:f>'测试用例'!Q28</x:f>
        <x:v>55.360289265054455</x:v>
      </x:c>
      <x:c r="G28" s="58" t="n">
        <x:f>'测试用例'!S28</x:f>
        <x:v>54.86204666166896</x:v>
      </x:c>
      <x:c r="H28" s="58" t="n">
        <x:f>'测试用例'!U28</x:f>
        <x:v>27.181902029141735</x:v>
      </x:c>
      <x:c r="I28" s="90"/>
      <x:c r="J28" s="91" t="str">
        <x:f>IF(I28="","",I28-C28)</x:f>
      </x:c>
      <x:c r="K28" s="90"/>
      <x:c r="L28" s="91" t="str">
        <x:f>IF(K28="","",K28-D28)</x:f>
      </x:c>
      <x:c r="M28" s="90"/>
      <x:c r="N28" s="91" t="str">
        <x:f>IF(M28="","",M28-E28)</x:f>
      </x:c>
      <x:c r="O28" s="90"/>
      <x:c r="P28" s="91" t="str">
        <x:f>IF(O28="","",O28-F28)</x:f>
      </x:c>
      <x:c r="Q28" s="90"/>
      <x:c r="R28" s="91" t="str">
        <x:f>IF(Q28="","",Q28-G28)</x:f>
      </x:c>
      <x:c r="S28" s="90"/>
      <x:c r="T28" s="91" t="str">
        <x:f>IF(OR(H28="",S28=""),"",S28-H28)</x:f>
      </x:c>
      <x:c r="U28" s="94"/>
      <x:c r="V28" s="100" t="str">
        <x:f>IF(I28="","",IF(ABS(J28)&lt;=5,"PASS","FAIL"))</x:f>
      </x:c>
      <x:c r="W28" s="100" t="str">
        <x:f>IF(K28="","",IF(ABS(L28)&lt;=5,"PASS","FAIL"))</x:f>
      </x:c>
      <x:c r="X28" s="100" t="str">
        <x:f>IF(M28="","",IF(ABS(N28)&lt;=1,"PASS","FAIL"))</x:f>
      </x:c>
      <x:c r="Y28" s="100" t="str">
        <x:f>IF(OR(O28="",Q28="",IF(H28="",FALSE,S28="")),"",IF(AND(ABS(P28)&lt;=5,ABS(R28)&lt;=5,IF(H28="",TRUE,ABS(T28)&lt;=5)),"PASS","FAIL"))</x:f>
      </x:c>
      <x:c r="Z28" s="100" t="str">
        <x:f>IF(U28="","",IF(U28&lt;=2000,"PASS","FAIL"))</x:f>
      </x:c>
      <x:c r="AA28" s="101" t="str">
        <x:f>IF(COUNTBLANK(V28:Z28)&gt;0,"",IF(COUNTIF(V28:Z28,"FAIL")=0,"PASS","FAIL"))</x:f>
      </x:c>
    </x:row>
    <x:row r="29">
      <x:c r="A29" s="96" t="n">
        <x:f>'测试用例'!A29</x:f>
        <x:v>25</x:v>
      </x:c>
      <x:c r="B29" s="97" t="n">
        <x:f>'测试用例'!B29</x:f>
        <x:v>1</x:v>
      </x:c>
      <x:c r="C29" s="58" t="n">
        <x:f>'测试用例'!E29</x:f>
        <x:v>225</x:v>
      </x:c>
      <x:c r="D29" s="58" t="n">
        <x:f>'测试用例'!W29</x:f>
        <x:v>67.2929467271434</x:v>
      </x:c>
      <x:c r="E29" s="58" t="n">
        <x:f>'测试用例'!F29</x:f>
        <x:v>10</x:v>
      </x:c>
      <x:c r="F29" s="58" t="n">
        <x:f>'测试用例'!Q29</x:f>
        <x:v>91.40208051199251</x:v>
      </x:c>
      <x:c r="G29" s="58" t="n">
        <x:f>'测试用例'!S29</x:f>
        <x:v>23.30753053055809</x:v>
      </x:c>
      <x:c r="H29" s="58" t="n">
        <x:f>'测试用例'!U29</x:f>
        <x:v>12.613487110654967</x:v>
      </x:c>
      <x:c r="I29" s="90"/>
      <x:c r="J29" s="91" t="str">
        <x:f>IF(I29="","",I29-C29)</x:f>
      </x:c>
      <x:c r="K29" s="90"/>
      <x:c r="L29" s="91" t="str">
        <x:f>IF(K29="","",K29-D29)</x:f>
      </x:c>
      <x:c r="M29" s="90"/>
      <x:c r="N29" s="91" t="str">
        <x:f>IF(M29="","",M29-E29)</x:f>
      </x:c>
      <x:c r="O29" s="90"/>
      <x:c r="P29" s="91" t="str">
        <x:f>IF(O29="","",O29-F29)</x:f>
      </x:c>
      <x:c r="Q29" s="90"/>
      <x:c r="R29" s="91" t="str">
        <x:f>IF(Q29="","",Q29-G29)</x:f>
      </x:c>
      <x:c r="S29" s="90"/>
      <x:c r="T29" s="91" t="str">
        <x:f>IF(OR(H29="",S29=""),"",S29-H29)</x:f>
      </x:c>
      <x:c r="U29" s="94"/>
      <x:c r="V29" s="100" t="str">
        <x:f>IF(I29="","",IF(ABS(J29)&lt;=5,"PASS","FAIL"))</x:f>
      </x:c>
      <x:c r="W29" s="100" t="str">
        <x:f>IF(K29="","",IF(ABS(L29)&lt;=5,"PASS","FAIL"))</x:f>
      </x:c>
      <x:c r="X29" s="100" t="str">
        <x:f>IF(M29="","",IF(ABS(N29)&lt;=1,"PASS","FAIL"))</x:f>
      </x:c>
      <x:c r="Y29" s="100" t="str">
        <x:f>IF(OR(O29="",Q29="",IF(H29="",FALSE,S29="")),"",IF(AND(ABS(P29)&lt;=5,ABS(R29)&lt;=5,IF(H29="",TRUE,ABS(T29)&lt;=5)),"PASS","FAIL"))</x:f>
      </x:c>
      <x:c r="Z29" s="100" t="str">
        <x:f>IF(U29="","",IF(U29&lt;=2000,"PASS","FAIL"))</x:f>
      </x:c>
      <x:c r="AA29" s="101" t="str">
        <x:f>IF(COUNTBLANK(V29:Z29)&gt;0,"",IF(COUNTIF(V29:Z29,"FAIL")=0,"PASS","FAIL"))</x:f>
      </x:c>
    </x:row>
    <x:row r="30">
      <x:c r="A30" s="96" t="n">
        <x:f>'测试用例'!A30</x:f>
        <x:v>26</x:v>
      </x:c>
      <x:c r="B30" s="97" t="n">
        <x:f>'测试用例'!B30</x:f>
        <x:v>1</x:v>
      </x:c>
      <x:c r="C30" s="58" t="n">
        <x:f>'测试用例'!E30</x:f>
        <x:v>240</x:v>
      </x:c>
      <x:c r="D30" s="58" t="n">
        <x:f>'测试用例'!W30</x:f>
        <x:v>78.22409901890751</x:v>
      </x:c>
      <x:c r="E30" s="58" t="n">
        <x:f>'测试用例'!F30</x:f>
        <x:v>28</x:v>
      </x:c>
      <x:c r="F30" s="58" t="n">
        <x:f>'测试用例'!Q30</x:f>
        <x:v>103.27317924425316</x:v>
      </x:c>
      <x:c r="G30" s="58" t="n">
        <x:f>'测试用例'!S30</x:f>
        <x:v>39.656900829793216</x:v>
      </x:c>
      <x:c r="H30" s="58" t="str">
        <x:f>'测试用例'!U30</x:f>
      </x:c>
      <x:c r="I30" s="90"/>
      <x:c r="J30" s="91" t="str">
        <x:f>IF(I30="","",I30-C30)</x:f>
      </x:c>
      <x:c r="K30" s="90"/>
      <x:c r="L30" s="91" t="str">
        <x:f>IF(K30="","",K30-D30)</x:f>
      </x:c>
      <x:c r="M30" s="90"/>
      <x:c r="N30" s="91" t="str">
        <x:f>IF(M30="","",M30-E30)</x:f>
      </x:c>
      <x:c r="O30" s="90"/>
      <x:c r="P30" s="91" t="str">
        <x:f>IF(O30="","",O30-F30)</x:f>
      </x:c>
      <x:c r="Q30" s="90"/>
      <x:c r="R30" s="91" t="str">
        <x:f>IF(Q30="","",Q30-G30)</x:f>
      </x:c>
      <x:c r="S30" s="90"/>
      <x:c r="T30" s="91" t="str">
        <x:f>IF(OR(H30="",S30=""),"",S30-H30)</x:f>
      </x:c>
      <x:c r="U30" s="94"/>
      <x:c r="V30" s="100" t="str">
        <x:f>IF(I30="","",IF(ABS(J30)&lt;=5,"PASS","FAIL"))</x:f>
      </x:c>
      <x:c r="W30" s="100" t="str">
        <x:f>IF(K30="","",IF(ABS(L30)&lt;=5,"PASS","FAIL"))</x:f>
      </x:c>
      <x:c r="X30" s="100" t="str">
        <x:f>IF(M30="","",IF(ABS(N30)&lt;=1,"PASS","FAIL"))</x:f>
      </x:c>
      <x:c r="Y30" s="100" t="str">
        <x:f>IF(OR(O30="",Q30="",IF(H30="",FALSE,S30="")),"",IF(AND(ABS(P30)&lt;=5,ABS(R30)&lt;=5,IF(H30="",TRUE,ABS(T30)&lt;=5)),"PASS","FAIL"))</x:f>
      </x:c>
      <x:c r="Z30" s="100" t="str">
        <x:f>IF(U30="","",IF(U30&lt;=2000,"PASS","FAIL"))</x:f>
      </x:c>
      <x:c r="AA30" s="101" t="str">
        <x:f>IF(COUNTBLANK(V30:Z30)&gt;0,"",IF(COUNTIF(V30:Z30,"FAIL")=0,"PASS","FAIL"))</x:f>
      </x:c>
    </x:row>
    <x:row r="31">
      <x:c r="A31" s="96" t="n">
        <x:f>'测试用例'!A31</x:f>
        <x:v>27</x:v>
      </x:c>
      <x:c r="B31" s="97" t="n">
        <x:f>'测试用例'!B31</x:f>
        <x:v>1</x:v>
      </x:c>
      <x:c r="C31" s="58" t="n">
        <x:f>'测试用例'!E31</x:f>
        <x:v>250</x:v>
      </x:c>
      <x:c r="D31" s="58" t="n">
        <x:f>'测试用例'!W31</x:f>
        <x:v>69.40953277154046</x:v>
      </x:c>
      <x:c r="E31" s="58" t="n">
        <x:f>'测试用例'!F31</x:f>
        <x:v>30</x:v>
      </x:c>
      <x:c r="F31" s="58" t="n">
        <x:f>'测试用例'!Q31</x:f>
        <x:v>84.28276746479047</x:v>
      </x:c>
      <x:c r="G31" s="58" t="n">
        <x:f>'测试用例'!S31</x:f>
        <x:v>50.31681217647991</x:v>
      </x:c>
      <x:c r="H31" s="58" t="str">
        <x:f>'测试用例'!U31</x:f>
      </x:c>
      <x:c r="I31" s="90"/>
      <x:c r="J31" s="91" t="str">
        <x:f>IF(I31="","",I31-C31)</x:f>
      </x:c>
      <x:c r="K31" s="90"/>
      <x:c r="L31" s="91" t="str">
        <x:f>IF(K31="","",K31-D31)</x:f>
      </x:c>
      <x:c r="M31" s="90"/>
      <x:c r="N31" s="91" t="str">
        <x:f>IF(M31="","",M31-E31)</x:f>
      </x:c>
      <x:c r="O31" s="90"/>
      <x:c r="P31" s="91" t="str">
        <x:f>IF(O31="","",O31-F31)</x:f>
      </x:c>
      <x:c r="Q31" s="90"/>
      <x:c r="R31" s="91" t="str">
        <x:f>IF(Q31="","",Q31-G31)</x:f>
      </x:c>
      <x:c r="S31" s="90"/>
      <x:c r="T31" s="91" t="str">
        <x:f>IF(OR(H31="",S31=""),"",S31-H31)</x:f>
      </x:c>
      <x:c r="U31" s="94"/>
      <x:c r="V31" s="100" t="str">
        <x:f>IF(I31="","",IF(ABS(J31)&lt;=5,"PASS","FAIL"))</x:f>
      </x:c>
      <x:c r="W31" s="100" t="str">
        <x:f>IF(K31="","",IF(ABS(L31)&lt;=5,"PASS","FAIL"))</x:f>
      </x:c>
      <x:c r="X31" s="100" t="str">
        <x:f>IF(M31="","",IF(ABS(N31)&lt;=1,"PASS","FAIL"))</x:f>
      </x:c>
      <x:c r="Y31" s="100" t="str">
        <x:f>IF(OR(O31="",Q31="",IF(H31="",FALSE,S31="")),"",IF(AND(ABS(P31)&lt;=5,ABS(R31)&lt;=5,IF(H31="",TRUE,ABS(T31)&lt;=5)),"PASS","FAIL"))</x:f>
      </x:c>
      <x:c r="Z31" s="100" t="str">
        <x:f>IF(U31="","",IF(U31&lt;=2000,"PASS","FAIL"))</x:f>
      </x:c>
      <x:c r="AA31" s="101" t="str">
        <x:f>IF(COUNTBLANK(V31:Z31)&gt;0,"",IF(COUNTIF(V31:Z31,"FAIL")=0,"PASS","FAIL"))</x:f>
      </x:c>
    </x:row>
    <x:row r="32">
      <x:c r="A32" s="96" t="n">
        <x:f>'测试用例'!A32</x:f>
        <x:v>28</x:v>
      </x:c>
      <x:c r="B32" s="97" t="n">
        <x:f>'测试用例'!B32</x:f>
        <x:v>1</x:v>
      </x:c>
      <x:c r="C32" s="58" t="n">
        <x:f>'测试用例'!E32</x:f>
        <x:v>100</x:v>
      </x:c>
      <x:c r="D32" s="58" t="n">
        <x:f>'测试用例'!W32</x:f>
        <x:v>26.41332275109491</x:v>
      </x:c>
      <x:c r="E32" s="58" t="n">
        <x:f>'测试用例'!F32</x:f>
        <x:v>30</x:v>
      </x:c>
      <x:c r="F32" s="58" t="n">
        <x:f>'测试用例'!Q32</x:f>
        <x:v>29.01231047472201</x:v>
      </x:c>
      <x:c r="G32" s="58" t="n">
        <x:f>'测试用例'!S32</x:f>
        <x:v>23.52898379499955</x:v>
      </x:c>
      <x:c r="H32" s="58" t="str">
        <x:f>'测试用例'!U32</x:f>
      </x:c>
      <x:c r="I32" s="90"/>
      <x:c r="J32" s="91" t="str">
        <x:f>IF(I32="","",I32-C32)</x:f>
      </x:c>
      <x:c r="K32" s="90"/>
      <x:c r="L32" s="91" t="str">
        <x:f>IF(K32="","",K32-D32)</x:f>
      </x:c>
      <x:c r="M32" s="90"/>
      <x:c r="N32" s="91" t="str">
        <x:f>IF(M32="","",M32-E32)</x:f>
      </x:c>
      <x:c r="O32" s="90"/>
      <x:c r="P32" s="91" t="str">
        <x:f>IF(O32="","",O32-F32)</x:f>
      </x:c>
      <x:c r="Q32" s="90"/>
      <x:c r="R32" s="91" t="str">
        <x:f>IF(Q32="","",Q32-G32)</x:f>
      </x:c>
      <x:c r="S32" s="90"/>
      <x:c r="T32" s="91" t="str">
        <x:f>IF(OR(H32="",S32=""),"",S32-H32)</x:f>
      </x:c>
      <x:c r="U32" s="94"/>
      <x:c r="V32" s="100" t="str">
        <x:f>IF(I32="","",IF(ABS(J32)&lt;=5,"PASS","FAIL"))</x:f>
      </x:c>
      <x:c r="W32" s="100" t="str">
        <x:f>IF(K32="","",IF(ABS(L32)&lt;=5,"PASS","FAIL"))</x:f>
      </x:c>
      <x:c r="X32" s="100" t="str">
        <x:f>IF(M32="","",IF(ABS(N32)&lt;=1,"PASS","FAIL"))</x:f>
      </x:c>
      <x:c r="Y32" s="100" t="str">
        <x:f>IF(OR(O32="",Q32="",IF(H32="",FALSE,S32="")),"",IF(AND(ABS(P32)&lt;=5,ABS(R32)&lt;=5,IF(H32="",TRUE,ABS(T32)&lt;=5)),"PASS","FAIL"))</x:f>
      </x:c>
      <x:c r="Z32" s="100" t="str">
        <x:f>IF(U32="","",IF(U32&lt;=2000,"PASS","FAIL"))</x:f>
      </x:c>
      <x:c r="AA32" s="101" t="str">
        <x:f>IF(COUNTBLANK(V32:Z32)&gt;0,"",IF(COUNTIF(V32:Z32,"FAIL")=0,"PASS","FAIL"))</x:f>
      </x:c>
    </x:row>
    <x:row r="33">
      <x:c r="A33" s="96" t="n">
        <x:f>'测试用例'!A33</x:f>
        <x:v>29</x:v>
      </x:c>
      <x:c r="B33" s="97" t="n">
        <x:f>'测试用例'!B33</x:f>
        <x:v>1</x:v>
      </x:c>
      <x:c r="C33" s="58" t="n">
        <x:f>'测试用例'!E33</x:f>
        <x:v>110</x:v>
      </x:c>
      <x:c r="D33" s="58" t="n">
        <x:f>'测试用例'!W33</x:f>
        <x:v>30.310416532133303</x:v>
      </x:c>
      <x:c r="E33" s="58" t="n">
        <x:f>'测试用例'!F33</x:f>
        <x:v>29.5</x:v>
      </x:c>
      <x:c r="F33" s="58" t="n">
        <x:f>'测试用例'!Q33</x:f>
        <x:v>30.50807029647008</x:v>
      </x:c>
      <x:c r="G33" s="58" t="n">
        <x:f>'测试用例'!S33</x:f>
        <x:v>30.111465382615968</x:v>
      </x:c>
      <x:c r="H33" s="58" t="str">
        <x:f>'测试用例'!U33</x:f>
      </x:c>
      <x:c r="I33" s="90"/>
      <x:c r="J33" s="91" t="str">
        <x:f>IF(I33="","",I33-C33)</x:f>
      </x:c>
      <x:c r="K33" s="90"/>
      <x:c r="L33" s="91" t="str">
        <x:f>IF(K33="","",K33-D33)</x:f>
      </x:c>
      <x:c r="M33" s="90"/>
      <x:c r="N33" s="91" t="str">
        <x:f>IF(M33="","",M33-E33)</x:f>
      </x:c>
      <x:c r="O33" s="90"/>
      <x:c r="P33" s="91" t="str">
        <x:f>IF(O33="","",O33-F33)</x:f>
      </x:c>
      <x:c r="Q33" s="90"/>
      <x:c r="R33" s="91" t="str">
        <x:f>IF(Q33="","",Q33-G33)</x:f>
      </x:c>
      <x:c r="S33" s="90"/>
      <x:c r="T33" s="91" t="str">
        <x:f>IF(OR(H33="",S33=""),"",S33-H33)</x:f>
      </x:c>
      <x:c r="U33" s="94"/>
      <x:c r="V33" s="100" t="str">
        <x:f>IF(I33="","",IF(ABS(J33)&lt;=5,"PASS","FAIL"))</x:f>
      </x:c>
      <x:c r="W33" s="100" t="str">
        <x:f>IF(K33="","",IF(ABS(L33)&lt;=5,"PASS","FAIL"))</x:f>
      </x:c>
      <x:c r="X33" s="100" t="str">
        <x:f>IF(M33="","",IF(ABS(N33)&lt;=1,"PASS","FAIL"))</x:f>
      </x:c>
      <x:c r="Y33" s="100" t="str">
        <x:f>IF(OR(O33="",Q33="",IF(H33="",FALSE,S33="")),"",IF(AND(ABS(P33)&lt;=5,ABS(R33)&lt;=5,IF(H33="",TRUE,ABS(T33)&lt;=5)),"PASS","FAIL"))</x:f>
      </x:c>
      <x:c r="Z33" s="100" t="str">
        <x:f>IF(U33="","",IF(U33&lt;=2000,"PASS","FAIL"))</x:f>
      </x:c>
      <x:c r="AA33" s="101" t="str">
        <x:f>IF(COUNTBLANK(V33:Z33)&gt;0,"",IF(COUNTIF(V33:Z33,"FAIL")=0,"PASS","FAIL"))</x:f>
      </x:c>
    </x:row>
    <x:row r="34">
      <x:c r="A34" s="96" t="n">
        <x:f>'测试用例'!A34</x:f>
        <x:v>30</x:v>
      </x:c>
      <x:c r="B34" s="97" t="n">
        <x:f>'测试用例'!B34</x:f>
        <x:v>1</x:v>
      </x:c>
      <x:c r="C34" s="58" t="n">
        <x:f>'测试用例'!E34</x:f>
        <x:v>125</x:v>
      </x:c>
      <x:c r="D34" s="58" t="n">
        <x:f>'测试用例'!W34</x:f>
        <x:v>48.01795865048427</x:v>
      </x:c>
      <x:c r="E34" s="58" t="n">
        <x:f>'测试用例'!F34</x:f>
        <x:v>55.5</x:v>
      </x:c>
      <x:c r="F34" s="58" t="n">
        <x:f>'测试用例'!Q34</x:f>
        <x:v>65.02881741135631</x:v>
      </x:c>
      <x:c r="G34" s="58" t="n">
        <x:f>'测试用例'!S34</x:f>
        <x:v>16.647377257307216</x:v>
      </x:c>
      <x:c r="H34" s="58" t="n">
        <x:f>'测试用例'!U34</x:f>
        <x:v>10.274553150994297</x:v>
      </x:c>
      <x:c r="I34" s="90"/>
      <x:c r="J34" s="91" t="str">
        <x:f>IF(I34="","",I34-C34)</x:f>
      </x:c>
      <x:c r="K34" s="90"/>
      <x:c r="L34" s="91" t="str">
        <x:f>IF(K34="","",K34-D34)</x:f>
      </x:c>
      <x:c r="M34" s="90"/>
      <x:c r="N34" s="91" t="str">
        <x:f>IF(M34="","",M34-E34)</x:f>
      </x:c>
      <x:c r="O34" s="90"/>
      <x:c r="P34" s="91" t="str">
        <x:f>IF(O34="","",O34-F34)</x:f>
      </x:c>
      <x:c r="Q34" s="90"/>
      <x:c r="R34" s="91" t="str">
        <x:f>IF(Q34="","",Q34-G34)</x:f>
      </x:c>
      <x:c r="S34" s="90"/>
      <x:c r="T34" s="91" t="str">
        <x:f>IF(OR(H34="",S34=""),"",S34-H34)</x:f>
      </x:c>
      <x:c r="U34" s="94"/>
      <x:c r="V34" s="100" t="str">
        <x:f>IF(I34="","",IF(ABS(J34)&lt;=5,"PASS","FAIL"))</x:f>
      </x:c>
      <x:c r="W34" s="100" t="str">
        <x:f>IF(K34="","",IF(ABS(L34)&lt;=5,"PASS","FAIL"))</x:f>
      </x:c>
      <x:c r="X34" s="100" t="str">
        <x:f>IF(M34="","",IF(ABS(N34)&lt;=1,"PASS","FAIL"))</x:f>
      </x:c>
      <x:c r="Y34" s="100" t="str">
        <x:f>IF(OR(O34="",Q34="",IF(H34="",FALSE,S34="")),"",IF(AND(ABS(P34)&lt;=5,ABS(R34)&lt;=5,IF(H34="",TRUE,ABS(T34)&lt;=5)),"PASS","FAIL"))</x:f>
      </x:c>
      <x:c r="Z34" s="100" t="str">
        <x:f>IF(U34="","",IF(U34&lt;=2000,"PASS","FAIL"))</x:f>
      </x:c>
      <x:c r="AA34" s="101" t="str">
        <x:f>IF(COUNTBLANK(V34:Z34)&gt;0,"",IF(COUNTIF(V34:Z34,"FAIL")=0,"PASS","FAIL"))</x:f>
      </x:c>
    </x:row>
    <x:row r="35">
      <x:c r="A35" s="96" t="n">
        <x:f>'测试用例'!A35</x:f>
        <x:v>31</x:v>
      </x:c>
      <x:c r="B35" s="97" t="n">
        <x:f>'测试用例'!B35</x:f>
        <x:v>1</x:v>
      </x:c>
      <x:c r="C35" s="58" t="n">
        <x:f>'测试用例'!E35</x:f>
        <x:v>150</x:v>
      </x:c>
      <x:c r="D35" s="58" t="n">
        <x:f>'测试用例'!W35</x:f>
        <x:v>50.4850133874699</x:v>
      </x:c>
      <x:c r="E35" s="58" t="n">
        <x:f>'测试用例'!F35</x:f>
        <x:v>48</x:v>
      </x:c>
      <x:c r="F35" s="58" t="n">
        <x:f>'测试用例'!Q35</x:f>
        <x:v>65.49801386042513</x:v>
      </x:c>
      <x:c r="G35" s="58" t="n">
        <x:f>'测试用例'!S35</x:f>
        <x:v>25.609723419426228</x:v>
      </x:c>
      <x:c r="H35" s="58" t="n">
        <x:f>'测试用例'!U35</x:f>
        <x:v>12.313626605759925</x:v>
      </x:c>
      <x:c r="I35" s="90"/>
      <x:c r="J35" s="91" t="str">
        <x:f>IF(I35="","",I35-C35)</x:f>
      </x:c>
      <x:c r="K35" s="90"/>
      <x:c r="L35" s="91" t="str">
        <x:f>IF(K35="","",K35-D35)</x:f>
      </x:c>
      <x:c r="M35" s="90"/>
      <x:c r="N35" s="91" t="str">
        <x:f>IF(M35="","",M35-E35)</x:f>
      </x:c>
      <x:c r="O35" s="90"/>
      <x:c r="P35" s="91" t="str">
        <x:f>IF(O35="","",O35-F35)</x:f>
      </x:c>
      <x:c r="Q35" s="90"/>
      <x:c r="R35" s="91" t="str">
        <x:f>IF(Q35="","",Q35-G35)</x:f>
      </x:c>
      <x:c r="S35" s="90"/>
      <x:c r="T35" s="91" t="str">
        <x:f>IF(OR(H35="",S35=""),"",S35-H35)</x:f>
      </x:c>
      <x:c r="U35" s="94"/>
      <x:c r="V35" s="100" t="str">
        <x:f>IF(I35="","",IF(ABS(J35)&lt;=5,"PASS","FAIL"))</x:f>
      </x:c>
      <x:c r="W35" s="100" t="str">
        <x:f>IF(K35="","",IF(ABS(L35)&lt;=5,"PASS","FAIL"))</x:f>
      </x:c>
      <x:c r="X35" s="100" t="str">
        <x:f>IF(M35="","",IF(ABS(N35)&lt;=1,"PASS","FAIL"))</x:f>
      </x:c>
      <x:c r="Y35" s="100" t="str">
        <x:f>IF(OR(O35="",Q35="",IF(H35="",FALSE,S35="")),"",IF(AND(ABS(P35)&lt;=5,ABS(R35)&lt;=5,IF(H35="",TRUE,ABS(T35)&lt;=5)),"PASS","FAIL"))</x:f>
      </x:c>
      <x:c r="Z35" s="100" t="str">
        <x:f>IF(U35="","",IF(U35&lt;=2000,"PASS","FAIL"))</x:f>
      </x:c>
      <x:c r="AA35" s="101" t="str">
        <x:f>IF(COUNTBLANK(V35:Z35)&gt;0,"",IF(COUNTIF(V35:Z35,"FAIL")=0,"PASS","FAIL"))</x:f>
      </x:c>
    </x:row>
    <x:row r="36">
      <x:c r="A36" s="96" t="n">
        <x:f>'测试用例'!A36</x:f>
        <x:v>32</x:v>
      </x:c>
      <x:c r="B36" s="97" t="n">
        <x:f>'测试用例'!B36</x:f>
        <x:v>1</x:v>
      </x:c>
      <x:c r="C36" s="58" t="n">
        <x:f>'测试用例'!E36</x:f>
        <x:v>175</x:v>
      </x:c>
      <x:c r="D36" s="58" t="n">
        <x:f>'测试用例'!W36</x:f>
        <x:v>52.2884459872193</x:v>
      </x:c>
      <x:c r="E36" s="58" t="n">
        <x:f>'测试用例'!F36</x:f>
        <x:v>50</x:v>
      </x:c>
      <x:c r="F36" s="58" t="n">
        <x:f>'测试用例'!Q36</x:f>
        <x:v>63.52645351268279</x:v>
      </x:c>
      <x:c r="G36" s="58" t="n">
        <x:f>'测试用例'!S36</x:f>
        <x:v>32.58907065200627</x:v>
      </x:c>
      <x:c r="H36" s="58" t="n">
        <x:f>'测试用例'!U36</x:f>
        <x:v>19.248515414342886</x:v>
      </x:c>
      <x:c r="I36" s="90"/>
      <x:c r="J36" s="91" t="str">
        <x:f>IF(I36="","",I36-C36)</x:f>
      </x:c>
      <x:c r="K36" s="90"/>
      <x:c r="L36" s="91" t="str">
        <x:f>IF(K36="","",K36-D36)</x:f>
      </x:c>
      <x:c r="M36" s="90"/>
      <x:c r="N36" s="91" t="str">
        <x:f>IF(M36="","",M36-E36)</x:f>
      </x:c>
      <x:c r="O36" s="90"/>
      <x:c r="P36" s="91" t="str">
        <x:f>IF(O36="","",O36-F36)</x:f>
      </x:c>
      <x:c r="Q36" s="90"/>
      <x:c r="R36" s="91" t="str">
        <x:f>IF(Q36="","",Q36-G36)</x:f>
      </x:c>
      <x:c r="S36" s="90"/>
      <x:c r="T36" s="91" t="str">
        <x:f>IF(OR(H36="",S36=""),"",S36-H36)</x:f>
      </x:c>
      <x:c r="U36" s="94"/>
      <x:c r="V36" s="100" t="str">
        <x:f>IF(I36="","",IF(ABS(J36)&lt;=5,"PASS","FAIL"))</x:f>
      </x:c>
      <x:c r="W36" s="100" t="str">
        <x:f>IF(K36="","",IF(ABS(L36)&lt;=5,"PASS","FAIL"))</x:f>
      </x:c>
      <x:c r="X36" s="100" t="str">
        <x:f>IF(M36="","",IF(ABS(N36)&lt;=1,"PASS","FAIL"))</x:f>
      </x:c>
      <x:c r="Y36" s="100" t="str">
        <x:f>IF(OR(O36="",Q36="",IF(H36="",FALSE,S36="")),"",IF(AND(ABS(P36)&lt;=5,ABS(R36)&lt;=5,IF(H36="",TRUE,ABS(T36)&lt;=5)),"PASS","FAIL"))</x:f>
      </x:c>
      <x:c r="Z36" s="100" t="str">
        <x:f>IF(U36="","",IF(U36&lt;=2000,"PASS","FAIL"))</x:f>
      </x:c>
      <x:c r="AA36" s="101" t="str">
        <x:f>IF(COUNTBLANK(V36:Z36)&gt;0,"",IF(COUNTIF(V36:Z36,"FAIL")=0,"PASS","FAIL"))</x:f>
      </x:c>
    </x:row>
    <x:row r="37">
      <x:c r="A37" s="96" t="n">
        <x:f>'测试用例'!A37</x:f>
        <x:v>33</x:v>
      </x:c>
      <x:c r="B37" s="97" t="n">
        <x:f>'测试用例'!B37</x:f>
        <x:v>1</x:v>
      </x:c>
      <x:c r="C37" s="58" t="n">
        <x:f>'测试用例'!E37</x:f>
        <x:v>200</x:v>
      </x:c>
      <x:c r="D37" s="58" t="n">
        <x:f>'测试用例'!W37</x:f>
        <x:v>53.673173943839544</x:v>
      </x:c>
      <x:c r="E37" s="58" t="n">
        <x:f>'测试用例'!F37</x:f>
        <x:v>10</x:v>
      </x:c>
      <x:c r="F37" s="58" t="n">
        <x:f>'测试用例'!Q37</x:f>
        <x:v>58.096339990918885</x:v>
      </x:c>
      <x:c r="G37" s="58" t="n">
        <x:f>'测试用例'!S37</x:f>
        <x:v>42.87509891329814</x:v>
      </x:c>
      <x:c r="H37" s="58" t="n">
        <x:f>'测试用例'!U37</x:f>
        <x:v>23.412825016340314</x:v>
      </x:c>
      <x:c r="I37" s="90"/>
      <x:c r="J37" s="91" t="str">
        <x:f>IF(I37="","",I37-C37)</x:f>
      </x:c>
      <x:c r="K37" s="90"/>
      <x:c r="L37" s="91" t="str">
        <x:f>IF(K37="","",K37-D37)</x:f>
      </x:c>
      <x:c r="M37" s="90"/>
      <x:c r="N37" s="91" t="str">
        <x:f>IF(M37="","",M37-E37)</x:f>
      </x:c>
      <x:c r="O37" s="90"/>
      <x:c r="P37" s="91" t="str">
        <x:f>IF(O37="","",O37-F37)</x:f>
      </x:c>
      <x:c r="Q37" s="90"/>
      <x:c r="R37" s="91" t="str">
        <x:f>IF(Q37="","",Q37-G37)</x:f>
      </x:c>
      <x:c r="S37" s="90"/>
      <x:c r="T37" s="91" t="str">
        <x:f>IF(OR(H37="",S37=""),"",S37-H37)</x:f>
      </x:c>
      <x:c r="U37" s="94"/>
      <x:c r="V37" s="100" t="str">
        <x:f>IF(I37="","",IF(ABS(J37)&lt;=5,"PASS","FAIL"))</x:f>
      </x:c>
      <x:c r="W37" s="100" t="str">
        <x:f>IF(K37="","",IF(ABS(L37)&lt;=5,"PASS","FAIL"))</x:f>
      </x:c>
      <x:c r="X37" s="100" t="str">
        <x:f>IF(M37="","",IF(ABS(N37)&lt;=1,"PASS","FAIL"))</x:f>
      </x:c>
      <x:c r="Y37" s="100" t="str">
        <x:f>IF(OR(O37="",Q37="",IF(H37="",FALSE,S37="")),"",IF(AND(ABS(P37)&lt;=5,ABS(R37)&lt;=5,IF(H37="",TRUE,ABS(T37)&lt;=5)),"PASS","FAIL"))</x:f>
      </x:c>
      <x:c r="Z37" s="100" t="str">
        <x:f>IF(U37="","",IF(U37&lt;=2000,"PASS","FAIL"))</x:f>
      </x:c>
      <x:c r="AA37" s="101" t="str">
        <x:f>IF(COUNTBLANK(V37:Z37)&gt;0,"",IF(COUNTIF(V37:Z37,"FAIL")=0,"PASS","FAIL"))</x:f>
      </x:c>
    </x:row>
    <x:row r="38">
      <x:c r="A38" s="96" t="n">
        <x:f>'测试用例'!A38</x:f>
        <x:v>34</x:v>
      </x:c>
      <x:c r="B38" s="97" t="n">
        <x:f>'测试用例'!B38</x:f>
        <x:v>1</x:v>
      </x:c>
      <x:c r="C38" s="58" t="n">
        <x:f>'测试用例'!E38</x:f>
        <x:v>225</x:v>
      </x:c>
      <x:c r="D38" s="58" t="n">
        <x:f>'测试用例'!W38</x:f>
        <x:v>57.24793946934568</x:v>
      </x:c>
      <x:c r="E38" s="58" t="n">
        <x:f>'测试用例'!F38</x:f>
        <x:v>16</x:v>
      </x:c>
      <x:c r="F38" s="58" t="n">
        <x:f>'测试用例'!Q38</x:f>
        <x:v>53.61525635451221</x:v>
      </x:c>
      <x:c r="G38" s="58" t="n">
        <x:f>'测试用例'!S38</x:f>
        <x:v>54.36586994347538</x:v>
      </x:c>
      <x:c r="H38" s="58" t="n">
        <x:f>'测试用例'!U38</x:f>
        <x:v>26.91485868996513</x:v>
      </x:c>
      <x:c r="I38" s="90"/>
      <x:c r="J38" s="91" t="str">
        <x:f>IF(I38="","",I38-C38)</x:f>
      </x:c>
      <x:c r="K38" s="90"/>
      <x:c r="L38" s="91" t="str">
        <x:f>IF(K38="","",K38-D38)</x:f>
      </x:c>
      <x:c r="M38" s="90"/>
      <x:c r="N38" s="91" t="str">
        <x:f>IF(M38="","",M38-E38)</x:f>
      </x:c>
      <x:c r="O38" s="90"/>
      <x:c r="P38" s="91" t="str">
        <x:f>IF(O38="","",O38-F38)</x:f>
      </x:c>
      <x:c r="Q38" s="90"/>
      <x:c r="R38" s="91" t="str">
        <x:f>IF(Q38="","",Q38-G38)</x:f>
      </x:c>
      <x:c r="S38" s="90"/>
      <x:c r="T38" s="91" t="str">
        <x:f>IF(OR(H38="",S38=""),"",S38-H38)</x:f>
      </x:c>
      <x:c r="U38" s="94"/>
      <x:c r="V38" s="100" t="str">
        <x:f>IF(I38="","",IF(ABS(J38)&lt;=5,"PASS","FAIL"))</x:f>
      </x:c>
      <x:c r="W38" s="100" t="str">
        <x:f>IF(K38="","",IF(ABS(L38)&lt;=5,"PASS","FAIL"))</x:f>
      </x:c>
      <x:c r="X38" s="100" t="str">
        <x:f>IF(M38="","",IF(ABS(N38)&lt;=1,"PASS","FAIL"))</x:f>
      </x:c>
      <x:c r="Y38" s="100" t="str">
        <x:f>IF(OR(O38="",Q38="",IF(H38="",FALSE,S38="")),"",IF(AND(ABS(P38)&lt;=5,ABS(R38)&lt;=5,IF(H38="",TRUE,ABS(T38)&lt;=5)),"PASS","FAIL"))</x:f>
      </x:c>
      <x:c r="Z38" s="100" t="str">
        <x:f>IF(U38="","",IF(U38&lt;=2000,"PASS","FAIL"))</x:f>
      </x:c>
      <x:c r="AA38" s="101" t="str">
        <x:f>IF(COUNTBLANK(V38:Z38)&gt;0,"",IF(COUNTIF(V38:Z38,"FAIL")=0,"PASS","FAIL"))</x:f>
      </x:c>
    </x:row>
    <x:row r="39">
      <x:c r="A39" s="96" t="n">
        <x:f>'测试用例'!A39</x:f>
        <x:v>35</x:v>
      </x:c>
      <x:c r="B39" s="97" t="n">
        <x:f>'测试用例'!B39</x:f>
        <x:v>2</x:v>
      </x:c>
      <x:c r="C39" s="58" t="n">
        <x:f>'测试用例'!E39</x:f>
        <x:v>50</x:v>
      </x:c>
      <x:c r="D39" s="58" t="n">
        <x:f>'测试用例'!W39</x:f>
        <x:v>15.214515501793247</x:v>
      </x:c>
      <x:c r="E39" s="58" t="n">
        <x:f>'测试用例'!F39</x:f>
        <x:v>10</x:v>
      </x:c>
      <x:c r="F39" s="58" t="n">
        <x:f>'测试用例'!Q39</x:f>
        <x:v>19.245008992642514</x:v>
      </x:c>
      <x:c r="G39" s="58" t="n">
        <x:f>'测试用例'!S39</x:f>
        <x:v>9.622504496321257</x:v>
      </x:c>
      <x:c r="H39" s="58" t="str">
        <x:f>'测试用例'!U39</x:f>
      </x:c>
      <x:c r="I39" s="90"/>
      <x:c r="J39" s="91" t="str">
        <x:f>IF(I39="","",I39-C39)</x:f>
      </x:c>
      <x:c r="K39" s="90"/>
      <x:c r="L39" s="91" t="str">
        <x:f>IF(K39="","",K39-D39)</x:f>
      </x:c>
      <x:c r="M39" s="90"/>
      <x:c r="N39" s="91" t="str">
        <x:f>IF(M39="","",M39-E39)</x:f>
      </x:c>
      <x:c r="O39" s="90"/>
      <x:c r="P39" s="91" t="str">
        <x:f>IF(O39="","",O39-F39)</x:f>
      </x:c>
      <x:c r="Q39" s="90"/>
      <x:c r="R39" s="91" t="str">
        <x:f>IF(Q39="","",Q39-G39)</x:f>
      </x:c>
      <x:c r="S39" s="90"/>
      <x:c r="T39" s="91" t="str">
        <x:f>IF(OR(H39="",S39=""),"",S39-H39)</x:f>
      </x:c>
      <x:c r="U39" s="94"/>
      <x:c r="V39" s="100" t="str">
        <x:f>IF(I39="","",IF(ABS(J39)&lt;=5,"PASS","FAIL"))</x:f>
      </x:c>
      <x:c r="W39" s="100" t="str">
        <x:f>IF(K39="","",IF(ABS(L39)&lt;=5,"PASS","FAIL"))</x:f>
      </x:c>
      <x:c r="X39" s="100" t="str">
        <x:f>IF(M39="","",IF(ABS(N39)&lt;=1,"PASS","FAIL"))</x:f>
      </x:c>
      <x:c r="Y39" s="100" t="str">
        <x:f>IF(OR(O39="",Q39="",IF(H39="",FALSE,S39="")),"",IF(AND(ABS(P39)&lt;=5,ABS(R39)&lt;=5,IF(H39="",TRUE,ABS(T39)&lt;=5)),"PASS","FAIL"))</x:f>
      </x:c>
      <x:c r="Z39" s="100" t="str">
        <x:f>IF(U39="","",IF(U39&lt;=2000,"PASS","FAIL"))</x:f>
      </x:c>
      <x:c r="AA39" s="101" t="str">
        <x:f>IF(COUNTBLANK(V39:Z39)&gt;0,"",IF(COUNTIF(V39:Z39,"FAIL")=0,"PASS","FAIL"))</x:f>
      </x:c>
    </x:row>
    <x:row r="40">
      <x:c r="A40" s="96" t="n">
        <x:f>'测试用例'!A40</x:f>
        <x:v>36</x:v>
      </x:c>
      <x:c r="B40" s="97" t="n">
        <x:f>'测试用例'!B40</x:f>
        <x:v>2</x:v>
      </x:c>
      <x:c r="C40" s="58" t="n">
        <x:f>'测试用例'!E40</x:f>
        <x:v>250</x:v>
      </x:c>
      <x:c r="D40" s="58" t="n">
        <x:f>'测试用例'!W40</x:f>
        <x:v>78.37263283107337</x:v>
      </x:c>
      <x:c r="E40" s="58" t="n">
        <x:f>'测试用例'!F40</x:f>
        <x:v>250</x:v>
      </x:c>
      <x:c r="F40" s="58" t="n">
        <x:f>'测试用例'!Q40</x:f>
        <x:v>102.90830850873023</x:v>
      </x:c>
      <x:c r="G40" s="58" t="n">
        <x:f>'测试用例'!S40</x:f>
        <x:v>41.16332340349209</x:v>
      </x:c>
      <x:c r="H40" s="58" t="str">
        <x:f>'测试用例'!U40</x:f>
      </x:c>
      <x:c r="I40" s="90"/>
      <x:c r="J40" s="91" t="str">
        <x:f>IF(I40="","",I40-C40)</x:f>
      </x:c>
      <x:c r="K40" s="90"/>
      <x:c r="L40" s="91" t="str">
        <x:f>IF(K40="","",K40-D40)</x:f>
      </x:c>
      <x:c r="M40" s="90"/>
      <x:c r="N40" s="91" t="str">
        <x:f>IF(M40="","",M40-E40)</x:f>
      </x:c>
      <x:c r="O40" s="90"/>
      <x:c r="P40" s="91" t="str">
        <x:f>IF(O40="","",O40-F40)</x:f>
      </x:c>
      <x:c r="Q40" s="90"/>
      <x:c r="R40" s="91" t="str">
        <x:f>IF(Q40="","",Q40-G40)</x:f>
      </x:c>
      <x:c r="S40" s="90"/>
      <x:c r="T40" s="91" t="str">
        <x:f>IF(OR(H40="",S40=""),"",S40-H40)</x:f>
      </x:c>
      <x:c r="U40" s="94"/>
      <x:c r="V40" s="100" t="str">
        <x:f>IF(I40="","",IF(ABS(J40)&lt;=5,"PASS","FAIL"))</x:f>
      </x:c>
      <x:c r="W40" s="100" t="str">
        <x:f>IF(K40="","",IF(ABS(L40)&lt;=5,"PASS","FAIL"))</x:f>
      </x:c>
      <x:c r="X40" s="100" t="str">
        <x:f>IF(M40="","",IF(ABS(N40)&lt;=1,"PASS","FAIL"))</x:f>
      </x:c>
      <x:c r="Y40" s="100" t="str">
        <x:f>IF(OR(O40="",Q40="",IF(H40="",FALSE,S40="")),"",IF(AND(ABS(P40)&lt;=5,ABS(R40)&lt;=5,IF(H40="",TRUE,ABS(T40)&lt;=5)),"PASS","FAIL"))</x:f>
      </x:c>
      <x:c r="Z40" s="100" t="str">
        <x:f>IF(U40="","",IF(U40&lt;=2000,"PASS","FAIL"))</x:f>
      </x:c>
      <x:c r="AA40" s="101" t="str">
        <x:f>IF(COUNTBLANK(V40:Z40)&gt;0,"",IF(COUNTIF(V40:Z40,"FAIL")=0,"PASS","FAIL"))</x:f>
      </x:c>
    </x:row>
    <x:row r="41">
      <x:c r="A41" s="96" t="n">
        <x:f>'测试用例'!A41</x:f>
        <x:v>37</x:v>
      </x:c>
      <x:c r="B41" s="97" t="n">
        <x:f>'测试用例'!B41</x:f>
        <x:v>2</x:v>
      </x:c>
      <x:c r="C41" s="58" t="n">
        <x:f>'测试用例'!E41</x:f>
        <x:v>150</x:v>
      </x:c>
      <x:c r="D41" s="58" t="n">
        <x:f>'测试用例'!W41</x:f>
        <x:v>53.32802805560084</x:v>
      </x:c>
      <x:c r="E41" s="58" t="n">
        <x:f>'测试用例'!F41</x:f>
        <x:v>125</x:v>
      </x:c>
      <x:c r="F41" s="58" t="n">
        <x:f>'测试用例'!Q41</x:f>
        <x:v>68.84618818180799</x:v>
      </x:c>
      <x:c r="G41" s="58" t="n">
        <x:f>'测试用例'!S41</x:f>
        <x:v>27.538475272723197</x:v>
      </x:c>
      <x:c r="H41" s="58" t="n">
        <x:f>'测试用例'!U41</x:f>
        <x:v>13.769237636361598</x:v>
      </x:c>
      <x:c r="I41" s="90"/>
      <x:c r="J41" s="91" t="str">
        <x:f>IF(I41="","",I41-C41)</x:f>
      </x:c>
      <x:c r="K41" s="90"/>
      <x:c r="L41" s="91" t="str">
        <x:f>IF(K41="","",K41-D41)</x:f>
      </x:c>
      <x:c r="M41" s="90"/>
      <x:c r="N41" s="91" t="str">
        <x:f>IF(M41="","",M41-E41)</x:f>
      </x:c>
      <x:c r="O41" s="90"/>
      <x:c r="P41" s="91" t="str">
        <x:f>IF(O41="","",O41-F41)</x:f>
      </x:c>
      <x:c r="Q41" s="90"/>
      <x:c r="R41" s="91" t="str">
        <x:f>IF(Q41="","",Q41-G41)</x:f>
      </x:c>
      <x:c r="S41" s="90"/>
      <x:c r="T41" s="91" t="str">
        <x:f>IF(OR(H41="",S41=""),"",S41-H41)</x:f>
      </x:c>
      <x:c r="U41" s="94"/>
      <x:c r="V41" s="100" t="str">
        <x:f>IF(I41="","",IF(ABS(J41)&lt;=5,"PASS","FAIL"))</x:f>
      </x:c>
      <x:c r="W41" s="100" t="str">
        <x:f>IF(K41="","",IF(ABS(L41)&lt;=5,"PASS","FAIL"))</x:f>
      </x:c>
      <x:c r="X41" s="100" t="str">
        <x:f>IF(M41="","",IF(ABS(N41)&lt;=1,"PASS","FAIL"))</x:f>
      </x:c>
      <x:c r="Y41" s="100" t="str">
        <x:f>IF(OR(O41="",Q41="",IF(H41="",FALSE,S41="")),"",IF(AND(ABS(P41)&lt;=5,ABS(R41)&lt;=5,IF(H41="",TRUE,ABS(T41)&lt;=5)),"PASS","FAIL"))</x:f>
      </x:c>
      <x:c r="Z41" s="100" t="str">
        <x:f>IF(U41="","",IF(U41&lt;=2000,"PASS","FAIL"))</x:f>
      </x:c>
      <x:c r="AA41" s="101" t="str">
        <x:f>IF(COUNTBLANK(V41:Z41)&gt;0,"",IF(COUNTIF(V41:Z41,"FAIL")=0,"PASS","FAIL"))</x:f>
      </x:c>
    </x:row>
    <x:row r="42">
      <x:c r="A42" s="96" t="n">
        <x:f>'测试用例'!A42</x:f>
        <x:v>38</x:v>
      </x:c>
      <x:c r="B42" s="97" t="n">
        <x:f>'测试用例'!B42</x:f>
        <x:v>2</x:v>
      </x:c>
      <x:c r="C42" s="58" t="n">
        <x:f>'测试用例'!E42</x:f>
        <x:v>100</x:v>
      </x:c>
      <x:c r="D42" s="58" t="n">
        <x:f>'测试用例'!W42</x:f>
        <x:v>29.716296679371865</x:v>
      </x:c>
      <x:c r="E42" s="58" t="n">
        <x:f>'测试用例'!F42</x:f>
        <x:v>100</x:v>
      </x:c>
      <x:c r="F42" s="58" t="n">
        <x:f>'测试用例'!Q42</x:f>
        <x:v>36.68259300875573</x:v>
      </x:c>
      <x:c r="G42" s="58" t="n">
        <x:f>'测试用例'!S42</x:f>
        <x:v>18.341296504377866</x:v>
      </x:c>
      <x:c r="H42" s="58" t="n">
        <x:f>'测试用例'!U42</x:f>
        <x:v>9.170648252188933</x:v>
      </x:c>
      <x:c r="I42" s="90"/>
      <x:c r="J42" s="91" t="str">
        <x:f>IF(I42="","",I42-C42)</x:f>
      </x:c>
      <x:c r="K42" s="90"/>
      <x:c r="L42" s="91" t="str">
        <x:f>IF(K42="","",K42-D42)</x:f>
      </x:c>
      <x:c r="M42" s="90"/>
      <x:c r="N42" s="91" t="str">
        <x:f>IF(M42="","",M42-E42)</x:f>
      </x:c>
      <x:c r="O42" s="90"/>
      <x:c r="P42" s="91" t="str">
        <x:f>IF(O42="","",O42-F42)</x:f>
      </x:c>
      <x:c r="Q42" s="90"/>
      <x:c r="R42" s="91" t="str">
        <x:f>IF(Q42="","",Q42-G42)</x:f>
      </x:c>
      <x:c r="S42" s="90"/>
      <x:c r="T42" s="91" t="str">
        <x:f>IF(OR(H42="",S42=""),"",S42-H42)</x:f>
      </x:c>
      <x:c r="U42" s="94"/>
      <x:c r="V42" s="100" t="str">
        <x:f>IF(I42="","",IF(ABS(J42)&lt;=5,"PASS","FAIL"))</x:f>
      </x:c>
      <x:c r="W42" s="100" t="str">
        <x:f>IF(K42="","",IF(ABS(L42)&lt;=5,"PASS","FAIL"))</x:f>
      </x:c>
      <x:c r="X42" s="100" t="str">
        <x:f>IF(M42="","",IF(ABS(N42)&lt;=1,"PASS","FAIL"))</x:f>
      </x:c>
      <x:c r="Y42" s="100" t="str">
        <x:f>IF(OR(O42="",Q42="",IF(H42="",FALSE,S42="")),"",IF(AND(ABS(P42)&lt;=5,ABS(R42)&lt;=5,IF(H42="",TRUE,ABS(T42)&lt;=5)),"PASS","FAIL"))</x:f>
      </x:c>
      <x:c r="Z42" s="100" t="str">
        <x:f>IF(U42="","",IF(U42&lt;=2000,"PASS","FAIL"))</x:f>
      </x:c>
      <x:c r="AA42" s="101" t="str">
        <x:f>IF(COUNTBLANK(V42:Z42)&gt;0,"",IF(COUNTIF(V42:Z42,"FAIL")=0,"PASS","FAIL"))</x:f>
      </x:c>
    </x:row>
    <x:row r="43">
      <x:c r="A43" s="96" t="n">
        <x:f>'测试用例'!A43</x:f>
        <x:v>39</x:v>
      </x:c>
      <x:c r="B43" s="97" t="n">
        <x:f>'测试用例'!B43</x:f>
        <x:v>2</x:v>
      </x:c>
      <x:c r="C43" s="58" t="n">
        <x:f>'测试用例'!E43</x:f>
        <x:v>125</x:v>
      </x:c>
      <x:c r="D43" s="58" t="n">
        <x:f>'测试用例'!W43</x:f>
        <x:v>35.24177551471714</x:v>
      </x:c>
      <x:c r="E43" s="58" t="n">
        <x:f>'测试用例'!F43</x:f>
        <x:v>68.5</x:v>
      </x:c>
      <x:c r="F43" s="58" t="n">
        <x:f>'测试用例'!Q43</x:f>
        <x:v>45.50890317553893</x:v>
      </x:c>
      <x:c r="G43" s="58" t="n">
        <x:f>'测试用例'!S43</x:f>
        <x:v>18.43110578609327</x:v>
      </x:c>
      <x:c r="H43" s="58" t="n">
        <x:f>'测试用例'!U43</x:f>
        <x:v>8.555673797001319</x:v>
      </x:c>
      <x:c r="I43" s="90"/>
      <x:c r="J43" s="91" t="str">
        <x:f>IF(I43="","",I43-C43)</x:f>
      </x:c>
      <x:c r="K43" s="90"/>
      <x:c r="L43" s="91" t="str">
        <x:f>IF(K43="","",K43-D43)</x:f>
      </x:c>
      <x:c r="M43" s="90"/>
      <x:c r="N43" s="91" t="str">
        <x:f>IF(M43="","",M43-E43)</x:f>
      </x:c>
      <x:c r="O43" s="90"/>
      <x:c r="P43" s="91" t="str">
        <x:f>IF(O43="","",O43-F43)</x:f>
      </x:c>
      <x:c r="Q43" s="90"/>
      <x:c r="R43" s="91" t="str">
        <x:f>IF(Q43="","",Q43-G43)</x:f>
      </x:c>
      <x:c r="S43" s="90"/>
      <x:c r="T43" s="91" t="str">
        <x:f>IF(OR(H43="",S43=""),"",S43-H43)</x:f>
      </x:c>
      <x:c r="U43" s="94"/>
      <x:c r="V43" s="100" t="str">
        <x:f>IF(I43="","",IF(ABS(J43)&lt;=5,"PASS","FAIL"))</x:f>
      </x:c>
      <x:c r="W43" s="100" t="str">
        <x:f>IF(K43="","",IF(ABS(L43)&lt;=5,"PASS","FAIL"))</x:f>
      </x:c>
      <x:c r="X43" s="100" t="str">
        <x:f>IF(M43="","",IF(ABS(N43)&lt;=1,"PASS","FAIL"))</x:f>
      </x:c>
      <x:c r="Y43" s="100" t="str">
        <x:f>IF(OR(O43="",Q43="",IF(H43="",FALSE,S43="")),"",IF(AND(ABS(P43)&lt;=5,ABS(R43)&lt;=5,IF(H43="",TRUE,ABS(T43)&lt;=5)),"PASS","FAIL"))</x:f>
      </x:c>
      <x:c r="Z43" s="100" t="str">
        <x:f>IF(U43="","",IF(U43&lt;=2000,"PASS","FAIL"))</x:f>
      </x:c>
      <x:c r="AA43" s="101" t="str">
        <x:f>IF(COUNTBLANK(V43:Z43)&gt;0,"",IF(COUNTIF(V43:Z43,"FAIL")=0,"PASS","FAIL"))</x:f>
      </x:c>
    </x:row>
    <x:row r="44">
      <x:c r="A44" s="96" t="n">
        <x:f>'测试用例'!A44</x:f>
        <x:v>40</x:v>
      </x:c>
      <x:c r="B44" s="97" t="n">
        <x:f>'测试用例'!B44</x:f>
        <x:v>2</x:v>
      </x:c>
      <x:c r="C44" s="58" t="n">
        <x:f>'测试用例'!E44</x:f>
        <x:v>150</x:v>
      </x:c>
      <x:c r="D44" s="58" t="n">
        <x:f>'测试用例'!W44</x:f>
        <x:v>51.41100094933539</x:v>
      </x:c>
      <x:c r="E44" s="58" t="n">
        <x:f>'测试用例'!F44</x:f>
        <x:v>202</x:v>
      </x:c>
      <x:c r="F44" s="58" t="n">
        <x:f>'测试用例'!Q44</x:f>
        <x:v>62.45494023458007</x:v>
      </x:c>
      <x:c r="G44" s="58" t="n">
        <x:f>'测试用例'!S44</x:f>
        <x:v>37.22314437980972</x:v>
      </x:c>
      <x:c r="H44" s="58" t="str">
        <x:f>'测试用例'!U44</x:f>
      </x:c>
      <x:c r="I44" s="90"/>
      <x:c r="J44" s="91" t="str">
        <x:f>IF(I44="","",I44-C44)</x:f>
      </x:c>
      <x:c r="K44" s="90"/>
      <x:c r="L44" s="91" t="str">
        <x:f>IF(K44="","",K44-D44)</x:f>
      </x:c>
      <x:c r="M44" s="90"/>
      <x:c r="N44" s="91" t="str">
        <x:f>IF(M44="","",M44-E44)</x:f>
      </x:c>
      <x:c r="O44" s="90"/>
      <x:c r="P44" s="91" t="str">
        <x:f>IF(O44="","",O44-F44)</x:f>
      </x:c>
      <x:c r="Q44" s="90"/>
      <x:c r="R44" s="91" t="str">
        <x:f>IF(Q44="","",Q44-G44)</x:f>
      </x:c>
      <x:c r="S44" s="90"/>
      <x:c r="T44" s="91" t="str">
        <x:f>IF(OR(H44="",S44=""),"",S44-H44)</x:f>
      </x:c>
      <x:c r="U44" s="94"/>
      <x:c r="V44" s="100" t="str">
        <x:f>IF(I44="","",IF(ABS(J44)&lt;=5,"PASS","FAIL"))</x:f>
      </x:c>
      <x:c r="W44" s="100" t="str">
        <x:f>IF(K44="","",IF(ABS(L44)&lt;=5,"PASS","FAIL"))</x:f>
      </x:c>
      <x:c r="X44" s="100" t="str">
        <x:f>IF(M44="","",IF(ABS(N44)&lt;=1,"PASS","FAIL"))</x:f>
      </x:c>
      <x:c r="Y44" s="100" t="str">
        <x:f>IF(OR(O44="",Q44="",IF(H44="",FALSE,S44="")),"",IF(AND(ABS(P44)&lt;=5,ABS(R44)&lt;=5,IF(H44="",TRUE,ABS(T44)&lt;=5)),"PASS","FAIL"))</x:f>
      </x:c>
      <x:c r="Z44" s="100" t="str">
        <x:f>IF(U44="","",IF(U44&lt;=2000,"PASS","FAIL"))</x:f>
      </x:c>
      <x:c r="AA44" s="101" t="str">
        <x:f>IF(COUNTBLANK(V44:Z44)&gt;0,"",IF(COUNTIF(V44:Z44,"FAIL")=0,"PASS","FAIL"))</x:f>
      </x:c>
    </x:row>
    <x:row r="45">
      <x:c r="A45" s="96" t="n">
        <x:f>'测试用例'!A45</x:f>
        <x:v>41</x:v>
      </x:c>
      <x:c r="B45" s="97" t="n">
        <x:f>'测试用例'!B45</x:f>
        <x:v>2</x:v>
      </x:c>
      <x:c r="C45" s="58" t="n">
        <x:f>'测试用例'!E45</x:f>
        <x:v>175</x:v>
      </x:c>
      <x:c r="D45" s="58" t="n">
        <x:f>'测试用例'!W45</x:f>
        <x:v>58.59241990079393</x:v>
      </x:c>
      <x:c r="E45" s="58" t="n">
        <x:f>'测试用例'!F45</x:f>
        <x:v>159</x:v>
      </x:c>
      <x:c r="F45" s="58" t="n">
        <x:f>'测试用例'!Q45</x:f>
        <x:v>64.32624761663482</x:v>
      </x:c>
      <x:c r="G45" s="58" t="n">
        <x:f>'测试用例'!S45</x:f>
        <x:v>52.232913064707475</x:v>
      </x:c>
      <x:c r="H45" s="58" t="str">
        <x:f>'测试用例'!U45</x:f>
      </x:c>
      <x:c r="I45" s="90"/>
      <x:c r="J45" s="91" t="str">
        <x:f>IF(I45="","",I45-C45)</x:f>
      </x:c>
      <x:c r="K45" s="90"/>
      <x:c r="L45" s="91" t="str">
        <x:f>IF(K45="","",K45-D45)</x:f>
      </x:c>
      <x:c r="M45" s="90"/>
      <x:c r="N45" s="91" t="str">
        <x:f>IF(M45="","",M45-E45)</x:f>
      </x:c>
      <x:c r="O45" s="90"/>
      <x:c r="P45" s="91" t="str">
        <x:f>IF(O45="","",O45-F45)</x:f>
      </x:c>
      <x:c r="Q45" s="90"/>
      <x:c r="R45" s="91" t="str">
        <x:f>IF(Q45="","",Q45-G45)</x:f>
      </x:c>
      <x:c r="S45" s="90"/>
      <x:c r="T45" s="91" t="str">
        <x:f>IF(OR(H45="",S45=""),"",S45-H45)</x:f>
      </x:c>
      <x:c r="U45" s="94"/>
      <x:c r="V45" s="100" t="str">
        <x:f>IF(I45="","",IF(ABS(J45)&lt;=5,"PASS","FAIL"))</x:f>
      </x:c>
      <x:c r="W45" s="100" t="str">
        <x:f>IF(K45="","",IF(ABS(L45)&lt;=5,"PASS","FAIL"))</x:f>
      </x:c>
      <x:c r="X45" s="100" t="str">
        <x:f>IF(M45="","",IF(ABS(N45)&lt;=1,"PASS","FAIL"))</x:f>
      </x:c>
      <x:c r="Y45" s="100" t="str">
        <x:f>IF(OR(O45="",Q45="",IF(H45="",FALSE,S45="")),"",IF(AND(ABS(P45)&lt;=5,ABS(R45)&lt;=5,IF(H45="",TRUE,ABS(T45)&lt;=5)),"PASS","FAIL"))</x:f>
      </x:c>
      <x:c r="Z45" s="100" t="str">
        <x:f>IF(U45="","",IF(U45&lt;=2000,"PASS","FAIL"))</x:f>
      </x:c>
      <x:c r="AA45" s="101" t="str">
        <x:f>IF(COUNTBLANK(V45:Z45)&gt;0,"",IF(COUNTIF(V45:Z45,"FAIL")=0,"PASS","FAIL"))</x:f>
      </x:c>
    </x:row>
    <x:row r="46">
      <x:c r="A46" s="96" t="n">
        <x:f>'测试用例'!A46</x:f>
        <x:v>42</x:v>
      </x:c>
      <x:c r="B46" s="97" t="n">
        <x:f>'测试用例'!B46</x:f>
        <x:v>2</x:v>
      </x:c>
      <x:c r="C46" s="58" t="n">
        <x:f>'测试用例'!E46</x:f>
        <x:v>200</x:v>
      </x:c>
      <x:c r="D46" s="58" t="n">
        <x:f>'测试用例'!W46</x:f>
        <x:v>52.332544098447556</x:v>
      </x:c>
      <x:c r="E46" s="58" t="n">
        <x:f>'测试用例'!F46</x:f>
        <x:v>125</x:v>
      </x:c>
      <x:c r="F46" s="58" t="n">
        <x:f>'测试用例'!Q46</x:f>
        <x:v>52.59485765145829</x:v>
      </x:c>
      <x:c r="G46" s="58" t="n">
        <x:f>'测试用例'!S46</x:f>
        <x:v>52.068909074943704</x:v>
      </x:c>
      <x:c r="H46" s="58" t="str">
        <x:f>'测试用例'!U46</x:f>
      </x:c>
      <x:c r="I46" s="90"/>
      <x:c r="J46" s="91" t="str">
        <x:f>IF(I46="","",I46-C46)</x:f>
      </x:c>
      <x:c r="K46" s="90"/>
      <x:c r="L46" s="91" t="str">
        <x:f>IF(K46="","",K46-D46)</x:f>
      </x:c>
      <x:c r="M46" s="90"/>
      <x:c r="N46" s="91" t="str">
        <x:f>IF(M46="","",M46-E46)</x:f>
      </x:c>
      <x:c r="O46" s="90"/>
      <x:c r="P46" s="91" t="str">
        <x:f>IF(O46="","",O46-F46)</x:f>
      </x:c>
      <x:c r="Q46" s="90"/>
      <x:c r="R46" s="91" t="str">
        <x:f>IF(Q46="","",Q46-G46)</x:f>
      </x:c>
      <x:c r="S46" s="90"/>
      <x:c r="T46" s="91" t="str">
        <x:f>IF(OR(H46="",S46=""),"",S46-H46)</x:f>
      </x:c>
      <x:c r="U46" s="94"/>
      <x:c r="V46" s="100" t="str">
        <x:f>IF(I46="","",IF(ABS(J46)&lt;=5,"PASS","FAIL"))</x:f>
      </x:c>
      <x:c r="W46" s="100" t="str">
        <x:f>IF(K46="","",IF(ABS(L46)&lt;=5,"PASS","FAIL"))</x:f>
      </x:c>
      <x:c r="X46" s="100" t="str">
        <x:f>IF(M46="","",IF(ABS(N46)&lt;=1,"PASS","FAIL"))</x:f>
      </x:c>
      <x:c r="Y46" s="100" t="str">
        <x:f>IF(OR(O46="",Q46="",IF(H46="",FALSE,S46="")),"",IF(AND(ABS(P46)&lt;=5,ABS(R46)&lt;=5,IF(H46="",TRUE,ABS(T46)&lt;=5)),"PASS","FAIL"))</x:f>
      </x:c>
      <x:c r="Z46" s="100" t="str">
        <x:f>IF(U46="","",IF(U46&lt;=2000,"PASS","FAIL"))</x:f>
      </x:c>
      <x:c r="AA46" s="101" t="str">
        <x:f>IF(COUNTBLANK(V46:Z46)&gt;0,"",IF(COUNTIF(V46:Z46,"FAIL")=0,"PASS","FAIL"))</x:f>
      </x:c>
    </x:row>
    <x:row r="47">
      <x:c r="A47" s="96" t="n">
        <x:f>'测试用例'!A47</x:f>
        <x:v>43</x:v>
      </x:c>
      <x:c r="B47" s="97" t="n">
        <x:f>'测试用例'!B47</x:f>
        <x:v>2</x:v>
      </x:c>
      <x:c r="C47" s="58" t="n">
        <x:f>'测试用例'!E47</x:f>
        <x:v>225</x:v>
      </x:c>
      <x:c r="D47" s="58" t="n">
        <x:f>'测试用例'!W47</x:f>
        <x:v>67.39885930416963</x:v>
      </x:c>
      <x:c r="E47" s="58" t="n">
        <x:f>'测试用例'!F47</x:f>
        <x:v>10</x:v>
      </x:c>
      <x:c r="F47" s="58" t="n">
        <x:f>'测试用例'!Q47</x:f>
        <x:v>92.18162615076085</x:v>
      </x:c>
      <x:c r="G47" s="58" t="n">
        <x:f>'测试用例'!S47</x:f>
        <x:v>24.243767677650105</x:v>
      </x:c>
      <x:c r="H47" s="58" t="str">
        <x:f>'测试用例'!U47</x:f>
      </x:c>
      <x:c r="I47" s="90"/>
      <x:c r="J47" s="91" t="str">
        <x:f>IF(I47="","",I47-C47)</x:f>
      </x:c>
      <x:c r="K47" s="90"/>
      <x:c r="L47" s="91" t="str">
        <x:f>IF(K47="","",K47-D47)</x:f>
      </x:c>
      <x:c r="M47" s="90"/>
      <x:c r="N47" s="91" t="str">
        <x:f>IF(M47="","",M47-E47)</x:f>
      </x:c>
      <x:c r="O47" s="90"/>
      <x:c r="P47" s="91" t="str">
        <x:f>IF(O47="","",O47-F47)</x:f>
      </x:c>
      <x:c r="Q47" s="90"/>
      <x:c r="R47" s="91" t="str">
        <x:f>IF(Q47="","",Q47-G47)</x:f>
      </x:c>
      <x:c r="S47" s="90"/>
      <x:c r="T47" s="91" t="str">
        <x:f>IF(OR(H47="",S47=""),"",S47-H47)</x:f>
      </x:c>
      <x:c r="U47" s="94"/>
      <x:c r="V47" s="100" t="str">
        <x:f>IF(I47="","",IF(ABS(J47)&lt;=5,"PASS","FAIL"))</x:f>
      </x:c>
      <x:c r="W47" s="100" t="str">
        <x:f>IF(K47="","",IF(ABS(L47)&lt;=5,"PASS","FAIL"))</x:f>
      </x:c>
      <x:c r="X47" s="100" t="str">
        <x:f>IF(M47="","",IF(ABS(N47)&lt;=1,"PASS","FAIL"))</x:f>
      </x:c>
      <x:c r="Y47" s="100" t="str">
        <x:f>IF(OR(O47="",Q47="",IF(H47="",FALSE,S47="")),"",IF(AND(ABS(P47)&lt;=5,ABS(R47)&lt;=5,IF(H47="",TRUE,ABS(T47)&lt;=5)),"PASS","FAIL"))</x:f>
      </x:c>
      <x:c r="Z47" s="100" t="str">
        <x:f>IF(U47="","",IF(U47&lt;=2000,"PASS","FAIL"))</x:f>
      </x:c>
      <x:c r="AA47" s="101" t="str">
        <x:f>IF(COUNTBLANK(V47:Z47)&gt;0,"",IF(COUNTIF(V47:Z47,"FAIL")=0,"PASS","FAIL"))</x:f>
      </x:c>
    </x:row>
    <x:row r="48">
      <x:c r="A48" s="96" t="n">
        <x:f>'测试用例'!A48</x:f>
        <x:v>44</x:v>
      </x:c>
      <x:c r="B48" s="97" t="n">
        <x:f>'测试用例'!B48</x:f>
        <x:v>2</x:v>
      </x:c>
      <x:c r="C48" s="58" t="n">
        <x:f>'测试用例'!E48</x:f>
        <x:v>240</x:v>
      </x:c>
      <x:c r="D48" s="58" t="n">
        <x:f>'测试用例'!W48</x:f>
        <x:v>78.17893812472875</x:v>
      </x:c>
      <x:c r="E48" s="58" t="n">
        <x:f>'测试用例'!F48</x:f>
        <x:v>41.5</x:v>
      </x:c>
      <x:c r="F48" s="58" t="n">
        <x:f>'测试用例'!Q48</x:f>
        <x:v>100.78807369576795</x:v>
      </x:c>
      <x:c r="G48" s="58" t="n">
        <x:f>'测试用例'!S48</x:f>
        <x:v>40.113653330915646</x:v>
      </x:c>
      <x:c r="H48" s="58" t="n">
        <x:f>'测试用例'!U48</x:f>
        <x:v>21.367071623502806</x:v>
      </x:c>
      <x:c r="I48" s="90"/>
      <x:c r="J48" s="91" t="str">
        <x:f>IF(I48="","",I48-C48)</x:f>
      </x:c>
      <x:c r="K48" s="90"/>
      <x:c r="L48" s="91" t="str">
        <x:f>IF(K48="","",K48-D48)</x:f>
      </x:c>
      <x:c r="M48" s="90"/>
      <x:c r="N48" s="91" t="str">
        <x:f>IF(M48="","",M48-E48)</x:f>
      </x:c>
      <x:c r="O48" s="90"/>
      <x:c r="P48" s="91" t="str">
        <x:f>IF(O48="","",O48-F48)</x:f>
      </x:c>
      <x:c r="Q48" s="90"/>
      <x:c r="R48" s="91" t="str">
        <x:f>IF(Q48="","",Q48-G48)</x:f>
      </x:c>
      <x:c r="S48" s="90"/>
      <x:c r="T48" s="91" t="str">
        <x:f>IF(OR(H48="",S48=""),"",S48-H48)</x:f>
      </x:c>
      <x:c r="U48" s="94"/>
      <x:c r="V48" s="100" t="str">
        <x:f>IF(I48="","",IF(ABS(J48)&lt;=5,"PASS","FAIL"))</x:f>
      </x:c>
      <x:c r="W48" s="100" t="str">
        <x:f>IF(K48="","",IF(ABS(L48)&lt;=5,"PASS","FAIL"))</x:f>
      </x:c>
      <x:c r="X48" s="100" t="str">
        <x:f>IF(M48="","",IF(ABS(N48)&lt;=1,"PASS","FAIL"))</x:f>
      </x:c>
      <x:c r="Y48" s="100" t="str">
        <x:f>IF(OR(O48="",Q48="",IF(H48="",FALSE,S48="")),"",IF(AND(ABS(P48)&lt;=5,ABS(R48)&lt;=5,IF(H48="",TRUE,ABS(T48)&lt;=5)),"PASS","FAIL"))</x:f>
      </x:c>
      <x:c r="Z48" s="100" t="str">
        <x:f>IF(U48="","",IF(U48&lt;=2000,"PASS","FAIL"))</x:f>
      </x:c>
      <x:c r="AA48" s="101" t="str">
        <x:f>IF(COUNTBLANK(V48:Z48)&gt;0,"",IF(COUNTIF(V48:Z48,"FAIL")=0,"PASS","FAIL"))</x:f>
      </x:c>
    </x:row>
    <x:row r="49">
      <x:c r="A49" s="96" t="n">
        <x:f>'测试用例'!A49</x:f>
        <x:v>45</x:v>
      </x:c>
      <x:c r="B49" s="97" t="n">
        <x:f>'测试用例'!B49</x:f>
        <x:v>2</x:v>
      </x:c>
      <x:c r="C49" s="58" t="n">
        <x:f>'测试用例'!E49</x:f>
        <x:v>250</x:v>
      </x:c>
      <x:c r="D49" s="58" t="n">
        <x:f>'测试用例'!W49</x:f>
        <x:v>64.92288331433856</x:v>
      </x:c>
      <x:c r="E49" s="58" t="n">
        <x:f>'测试用例'!F49</x:f>
        <x:v>50.5</x:v>
      </x:c>
      <x:c r="F49" s="58" t="n">
        <x:f>'测试用例'!Q49</x:f>
        <x:v>79.35383519957226</x:v>
      </x:c>
      <x:c r="G49" s="58" t="n">
        <x:f>'测试用例'!S49</x:f>
        <x:v>40.311748281382705</x:v>
      </x:c>
      <x:c r="H49" s="58" t="n">
        <x:f>'测试用例'!U49</x:f>
        <x:v>22.53648919667852</x:v>
      </x:c>
      <x:c r="I49" s="90"/>
      <x:c r="J49" s="91" t="str">
        <x:f>IF(I49="","",I49-C49)</x:f>
      </x:c>
      <x:c r="K49" s="90"/>
      <x:c r="L49" s="91" t="str">
        <x:f>IF(K49="","",K49-D49)</x:f>
      </x:c>
      <x:c r="M49" s="90"/>
      <x:c r="N49" s="91" t="str">
        <x:f>IF(M49="","",M49-E49)</x:f>
      </x:c>
      <x:c r="O49" s="90"/>
      <x:c r="P49" s="91" t="str">
        <x:f>IF(O49="","",O49-F49)</x:f>
      </x:c>
      <x:c r="Q49" s="90"/>
      <x:c r="R49" s="91" t="str">
        <x:f>IF(Q49="","",Q49-G49)</x:f>
      </x:c>
      <x:c r="S49" s="90"/>
      <x:c r="T49" s="91" t="str">
        <x:f>IF(OR(H49="",S49=""),"",S49-H49)</x:f>
      </x:c>
      <x:c r="U49" s="94"/>
      <x:c r="V49" s="100" t="str">
        <x:f>IF(I49="","",IF(ABS(J49)&lt;=5,"PASS","FAIL"))</x:f>
      </x:c>
      <x:c r="W49" s="100" t="str">
        <x:f>IF(K49="","",IF(ABS(L49)&lt;=5,"PASS","FAIL"))</x:f>
      </x:c>
      <x:c r="X49" s="100" t="str">
        <x:f>IF(M49="","",IF(ABS(N49)&lt;=1,"PASS","FAIL"))</x:f>
      </x:c>
      <x:c r="Y49" s="100" t="str">
        <x:f>IF(OR(O49="",Q49="",IF(H49="",FALSE,S49="")),"",IF(AND(ABS(P49)&lt;=5,ABS(R49)&lt;=5,IF(H49="",TRUE,ABS(T49)&lt;=5)),"PASS","FAIL"))</x:f>
      </x:c>
      <x:c r="Z49" s="100" t="str">
        <x:f>IF(U49="","",IF(U49&lt;=2000,"PASS","FAIL"))</x:f>
      </x:c>
      <x:c r="AA49" s="101" t="str">
        <x:f>IF(COUNTBLANK(V49:Z49)&gt;0,"",IF(COUNTIF(V49:Z49,"FAIL")=0,"PASS","FAIL"))</x:f>
      </x:c>
    </x:row>
    <x:row r="50">
      <x:c r="A50" s="96" t="n">
        <x:f>'测试用例'!A50</x:f>
        <x:v>46</x:v>
      </x:c>
      <x:c r="B50" s="97" t="n">
        <x:f>'测试用例'!B50</x:f>
        <x:v>2</x:v>
      </x:c>
      <x:c r="C50" s="58" t="n">
        <x:f>'测试用例'!E50</x:f>
        <x:v>50</x:v>
      </x:c>
      <x:c r="D50" s="58" t="n">
        <x:f>'测试用例'!W50</x:f>
        <x:v>13.963104039302932</x:v>
      </x:c>
      <x:c r="E50" s="58" t="n">
        <x:f>'测试用例'!F50</x:f>
        <x:v>67.5</x:v>
      </x:c>
      <x:c r="F50" s="58" t="n">
        <x:f>'测试用例'!Q50</x:f>
        <x:v>14.959975839287317</x:v>
      </x:c>
      <x:c r="G50" s="58" t="n">
        <x:f>'测试用例'!S50</x:f>
        <x:v>11.384541613697648</x:v>
      </x:c>
      <x:c r="H50" s="58" t="n">
        <x:f>'测试用例'!U50</x:f>
        <x:v>6.043830239072077</x:v>
      </x:c>
      <x:c r="I50" s="90"/>
      <x:c r="J50" s="91" t="str">
        <x:f>IF(I50="","",I50-C50)</x:f>
      </x:c>
      <x:c r="K50" s="90"/>
      <x:c r="L50" s="91" t="str">
        <x:f>IF(K50="","",K50-D50)</x:f>
      </x:c>
      <x:c r="M50" s="90"/>
      <x:c r="N50" s="91" t="str">
        <x:f>IF(M50="","",M50-E50)</x:f>
      </x:c>
      <x:c r="O50" s="90"/>
      <x:c r="P50" s="91" t="str">
        <x:f>IF(O50="","",O50-F50)</x:f>
      </x:c>
      <x:c r="Q50" s="90"/>
      <x:c r="R50" s="91" t="str">
        <x:f>IF(Q50="","",Q50-G50)</x:f>
      </x:c>
      <x:c r="S50" s="90"/>
      <x:c r="T50" s="91" t="str">
        <x:f>IF(OR(H50="",S50=""),"",S50-H50)</x:f>
      </x:c>
      <x:c r="U50" s="94"/>
      <x:c r="V50" s="100" t="str">
        <x:f>IF(I50="","",IF(ABS(J50)&lt;=5,"PASS","FAIL"))</x:f>
      </x:c>
      <x:c r="W50" s="100" t="str">
        <x:f>IF(K50="","",IF(ABS(L50)&lt;=5,"PASS","FAIL"))</x:f>
      </x:c>
      <x:c r="X50" s="100" t="str">
        <x:f>IF(M50="","",IF(ABS(N50)&lt;=1,"PASS","FAIL"))</x:f>
      </x:c>
      <x:c r="Y50" s="100" t="str">
        <x:f>IF(OR(O50="",Q50="",IF(H50="",FALSE,S50="")),"",IF(AND(ABS(P50)&lt;=5,ABS(R50)&lt;=5,IF(H50="",TRUE,ABS(T50)&lt;=5)),"PASS","FAIL"))</x:f>
      </x:c>
      <x:c r="Z50" s="100" t="str">
        <x:f>IF(U50="","",IF(U50&lt;=2000,"PASS","FAIL"))</x:f>
      </x:c>
      <x:c r="AA50" s="101" t="str">
        <x:f>IF(COUNTBLANK(V50:Z50)&gt;0,"",IF(COUNTIF(V50:Z50,"FAIL")=0,"PASS","FAIL"))</x:f>
      </x:c>
    </x:row>
    <x:row r="51">
      <x:c r="A51" s="96" t="n">
        <x:f>'测试用例'!A51</x:f>
        <x:v>47</x:v>
      </x:c>
      <x:c r="B51" s="97" t="n">
        <x:f>'测试用例'!B51</x:f>
        <x:v>2</x:v>
      </x:c>
      <x:c r="C51" s="58" t="n">
        <x:f>'测试用例'!E51</x:f>
        <x:v>60</x:v>
      </x:c>
      <x:c r="D51" s="58" t="n">
        <x:f>'测试用例'!W51</x:f>
        <x:v>15.830556342861604</x:v>
      </x:c>
      <x:c r="E51" s="58" t="n">
        <x:f>'测试用例'!F51</x:f>
        <x:v>68.5</x:v>
      </x:c>
      <x:c r="F51" s="58" t="n">
        <x:f>'测试用例'!Q51</x:f>
        <x:v>15.004828545549985</x:v>
      </x:c>
      <x:c r="G51" s="58" t="n">
        <x:f>'测试用例'!S51</x:f>
        <x:v>14.914799574276685</x:v>
      </x:c>
      <x:c r="H51" s="58" t="n">
        <x:f>'测试用例'!U51</x:f>
        <x:v>7.322356330228393</x:v>
      </x:c>
      <x:c r="I51" s="90"/>
      <x:c r="J51" s="91" t="str">
        <x:f>IF(I51="","",I51-C51)</x:f>
      </x:c>
      <x:c r="K51" s="90"/>
      <x:c r="L51" s="91" t="str">
        <x:f>IF(K51="","",K51-D51)</x:f>
      </x:c>
      <x:c r="M51" s="90"/>
      <x:c r="N51" s="91" t="str">
        <x:f>IF(M51="","",M51-E51)</x:f>
      </x:c>
      <x:c r="O51" s="90"/>
      <x:c r="P51" s="91" t="str">
        <x:f>IF(O51="","",O51-F51)</x:f>
      </x:c>
      <x:c r="Q51" s="90"/>
      <x:c r="R51" s="91" t="str">
        <x:f>IF(Q51="","",Q51-G51)</x:f>
      </x:c>
      <x:c r="S51" s="90"/>
      <x:c r="T51" s="91" t="str">
        <x:f>IF(OR(H51="",S51=""),"",S51-H51)</x:f>
      </x:c>
      <x:c r="U51" s="94"/>
      <x:c r="V51" s="100" t="str">
        <x:f>IF(I51="","",IF(ABS(J51)&lt;=5,"PASS","FAIL"))</x:f>
      </x:c>
      <x:c r="W51" s="100" t="str">
        <x:f>IF(K51="","",IF(ABS(L51)&lt;=5,"PASS","FAIL"))</x:f>
      </x:c>
      <x:c r="X51" s="100" t="str">
        <x:f>IF(M51="","",IF(ABS(N51)&lt;=1,"PASS","FAIL"))</x:f>
      </x:c>
      <x:c r="Y51" s="100" t="str">
        <x:f>IF(OR(O51="",Q51="",IF(H51="",FALSE,S51="")),"",IF(AND(ABS(P51)&lt;=5,ABS(R51)&lt;=5,IF(H51="",TRUE,ABS(T51)&lt;=5)),"PASS","FAIL"))</x:f>
      </x:c>
      <x:c r="Z51" s="100" t="str">
        <x:f>IF(U51="","",IF(U51&lt;=2000,"PASS","FAIL"))</x:f>
      </x:c>
      <x:c r="AA51" s="101" t="str">
        <x:f>IF(COUNTBLANK(V51:Z51)&gt;0,"",IF(COUNTIF(V51:Z51,"FAIL")=0,"PASS","FAIL"))</x:f>
      </x:c>
    </x:row>
    <x:row r="52">
      <x:c r="A52" s="96" t="n">
        <x:f>'测试用例'!A52</x:f>
        <x:v>48</x:v>
      </x:c>
      <x:c r="B52" s="97" t="n">
        <x:f>'测试用例'!B52</x:f>
        <x:v>2</x:v>
      </x:c>
      <x:c r="C52" s="58" t="n">
        <x:f>'测试用例'!E52</x:f>
        <x:v>75</x:v>
      </x:c>
      <x:c r="D52" s="58" t="n">
        <x:f>'测试用例'!W52</x:f>
        <x:v>23.34385865332398</x:v>
      </x:c>
      <x:c r="E52" s="58" t="n">
        <x:f>'测试用例'!F52</x:f>
        <x:v>82</x:v>
      </x:c>
      <x:c r="F52" s="58" t="n">
        <x:f>'测试用例'!Q52</x:f>
        <x:v>31.633916664418265</x:v>
      </x:c>
      <x:c r="G52" s="58" t="n">
        <x:f>'测试用例'!S52</x:f>
        <x:v>7.971746999433403</x:v>
      </x:c>
      <x:c r="H52" s="58" t="n">
        <x:f>'测试用例'!U52</x:f>
        <x:v>5.0614266663069225</x:v>
      </x:c>
      <x:c r="I52" s="90"/>
      <x:c r="J52" s="91" t="str">
        <x:f>IF(I52="","",I52-C52)</x:f>
      </x:c>
      <x:c r="K52" s="90"/>
      <x:c r="L52" s="91" t="str">
        <x:f>IF(K52="","",K52-D52)</x:f>
      </x:c>
      <x:c r="M52" s="90"/>
      <x:c r="N52" s="91" t="str">
        <x:f>IF(M52="","",M52-E52)</x:f>
      </x:c>
      <x:c r="O52" s="90"/>
      <x:c r="P52" s="91" t="str">
        <x:f>IF(O52="","",O52-F52)</x:f>
      </x:c>
      <x:c r="Q52" s="90"/>
      <x:c r="R52" s="91" t="str">
        <x:f>IF(Q52="","",Q52-G52)</x:f>
      </x:c>
      <x:c r="S52" s="90"/>
      <x:c r="T52" s="91" t="str">
        <x:f>IF(OR(H52="",S52=""),"",S52-H52)</x:f>
      </x:c>
      <x:c r="U52" s="94"/>
      <x:c r="V52" s="100" t="str">
        <x:f>IF(I52="","",IF(ABS(J52)&lt;=5,"PASS","FAIL"))</x:f>
      </x:c>
      <x:c r="W52" s="100" t="str">
        <x:f>IF(K52="","",IF(ABS(L52)&lt;=5,"PASS","FAIL"))</x:f>
      </x:c>
      <x:c r="X52" s="100" t="str">
        <x:f>IF(M52="","",IF(ABS(N52)&lt;=1,"PASS","FAIL"))</x:f>
      </x:c>
      <x:c r="Y52" s="100" t="str">
        <x:f>IF(OR(O52="",Q52="",IF(H52="",FALSE,S52="")),"",IF(AND(ABS(P52)&lt;=5,ABS(R52)&lt;=5,IF(H52="",TRUE,ABS(T52)&lt;=5)),"PASS","FAIL"))</x:f>
      </x:c>
      <x:c r="Z52" s="100" t="str">
        <x:f>IF(U52="","",IF(U52&lt;=2000,"PASS","FAIL"))</x:f>
      </x:c>
      <x:c r="AA52" s="101" t="str">
        <x:f>IF(COUNTBLANK(V52:Z52)&gt;0,"",IF(COUNTIF(V52:Z52,"FAIL")=0,"PASS","FAIL"))</x:f>
      </x:c>
    </x:row>
    <x:row r="53">
      <x:c r="A53" s="96" t="n">
        <x:f>'测试用例'!A53</x:f>
        <x:v>49</x:v>
      </x:c>
      <x:c r="B53" s="97" t="n">
        <x:f>'测试用例'!B53</x:f>
        <x:v>2</x:v>
      </x:c>
      <x:c r="C53" s="58" t="n">
        <x:f>'测试用例'!E53</x:f>
        <x:v>100</x:v>
      </x:c>
      <x:c r="D53" s="58" t="n">
        <x:f>'测试用例'!W53</x:f>
        <x:v>36.13306097258787</x:v>
      </x:c>
      <x:c r="E53" s="58" t="n">
        <x:f>'测试用例'!F53</x:f>
        <x:v>238</x:v>
      </x:c>
      <x:c r="F53" s="58" t="n">
        <x:f>'测试用例'!Q53</x:f>
        <x:v>47.60742187845238</x:v>
      </x:c>
      <x:c r="G53" s="58" t="n">
        <x:f>'测试用例'!S53</x:f>
        <x:v>18.56689453259643</x:v>
      </x:c>
      <x:c r="H53" s="58" t="str">
        <x:f>'测试用例'!U53</x:f>
      </x:c>
      <x:c r="I53" s="90"/>
      <x:c r="J53" s="91" t="str">
        <x:f>IF(I53="","",I53-C53)</x:f>
      </x:c>
      <x:c r="K53" s="90"/>
      <x:c r="L53" s="91" t="str">
        <x:f>IF(K53="","",K53-D53)</x:f>
      </x:c>
      <x:c r="M53" s="90"/>
      <x:c r="N53" s="91" t="str">
        <x:f>IF(M53="","",M53-E53)</x:f>
      </x:c>
      <x:c r="O53" s="90"/>
      <x:c r="P53" s="91" t="str">
        <x:f>IF(O53="","",O53-F53)</x:f>
      </x:c>
      <x:c r="Q53" s="90"/>
      <x:c r="R53" s="91" t="str">
        <x:f>IF(Q53="","",Q53-G53)</x:f>
      </x:c>
      <x:c r="S53" s="90"/>
      <x:c r="T53" s="91" t="str">
        <x:f>IF(OR(H53="",S53=""),"",S53-H53)</x:f>
      </x:c>
      <x:c r="U53" s="94"/>
      <x:c r="V53" s="100" t="str">
        <x:f>IF(I53="","",IF(ABS(J53)&lt;=5,"PASS","FAIL"))</x:f>
      </x:c>
      <x:c r="W53" s="100" t="str">
        <x:f>IF(K53="","",IF(ABS(L53)&lt;=5,"PASS","FAIL"))</x:f>
      </x:c>
      <x:c r="X53" s="100" t="str">
        <x:f>IF(M53="","",IF(ABS(N53)&lt;=1,"PASS","FAIL"))</x:f>
      </x:c>
      <x:c r="Y53" s="100" t="str">
        <x:f>IF(OR(O53="",Q53="",IF(H53="",FALSE,S53="")),"",IF(AND(ABS(P53)&lt;=5,ABS(R53)&lt;=5,IF(H53="",TRUE,ABS(T53)&lt;=5)),"PASS","FAIL"))</x:f>
      </x:c>
      <x:c r="Z53" s="100" t="str">
        <x:f>IF(U53="","",IF(U53&lt;=2000,"PASS","FAIL"))</x:f>
      </x:c>
      <x:c r="AA53" s="101" t="str">
        <x:f>IF(COUNTBLANK(V53:Z53)&gt;0,"",IF(COUNTIF(V53:Z53,"FAIL")=0,"PASS","FAIL"))</x:f>
      </x:c>
    </x:row>
    <x:row r="54">
      <x:c r="A54" s="96" t="n">
        <x:f>'测试用例'!A54</x:f>
        <x:v>50</x:v>
      </x:c>
      <x:c r="B54" s="97" t="n">
        <x:f>'测试用例'!B54</x:f>
        <x:v>2</x:v>
      </x:c>
      <x:c r="C54" s="58" t="n">
        <x:f>'测试用例'!E54</x:f>
        <x:v>125</x:v>
      </x:c>
      <x:c r="D54" s="58" t="n">
        <x:f>'测试用例'!W54</x:f>
        <x:v>32.73516776000006</x:v>
      </x:c>
      <x:c r="E54" s="58" t="n">
        <x:f>'测试用例'!F54</x:f>
        <x:v>166.5</x:v>
      </x:c>
      <x:c r="F54" s="58" t="n">
        <x:f>'测试用例'!Q54</x:f>
        <x:v>39.504224277162635</x:v>
      </x:c>
      <x:c r="G54" s="58" t="n">
        <x:f>'测试用例'!S54</x:f>
        <x:v>24.13708103334637</x:v>
      </x:c>
      <x:c r="H54" s="58" t="str">
        <x:f>'测试用例'!U54</x:f>
      </x:c>
      <x:c r="I54" s="90"/>
      <x:c r="J54" s="91" t="str">
        <x:f>IF(I54="","",I54-C54)</x:f>
      </x:c>
      <x:c r="K54" s="90"/>
      <x:c r="L54" s="91" t="str">
        <x:f>IF(K54="","",K54-D54)</x:f>
      </x:c>
      <x:c r="M54" s="90"/>
      <x:c r="N54" s="91" t="str">
        <x:f>IF(M54="","",M54-E54)</x:f>
      </x:c>
      <x:c r="O54" s="90"/>
      <x:c r="P54" s="91" t="str">
        <x:f>IF(O54="","",O54-F54)</x:f>
      </x:c>
      <x:c r="Q54" s="90"/>
      <x:c r="R54" s="91" t="str">
        <x:f>IF(Q54="","",Q54-G54)</x:f>
      </x:c>
      <x:c r="S54" s="90"/>
      <x:c r="T54" s="91" t="str">
        <x:f>IF(OR(H54="",S54=""),"",S54-H54)</x:f>
      </x:c>
      <x:c r="U54" s="94"/>
      <x:c r="V54" s="100" t="str">
        <x:f>IF(I54="","",IF(ABS(J54)&lt;=5,"PASS","FAIL"))</x:f>
      </x:c>
      <x:c r="W54" s="100" t="str">
        <x:f>IF(K54="","",IF(ABS(L54)&lt;=5,"PASS","FAIL"))</x:f>
      </x:c>
      <x:c r="X54" s="100" t="str">
        <x:f>IF(M54="","",IF(ABS(N54)&lt;=1,"PASS","FAIL"))</x:f>
      </x:c>
      <x:c r="Y54" s="100" t="str">
        <x:f>IF(OR(O54="",Q54="",IF(H54="",FALSE,S54="")),"",IF(AND(ABS(P54)&lt;=5,ABS(R54)&lt;=5,IF(H54="",TRUE,ABS(T54)&lt;=5)),"PASS","FAIL"))</x:f>
      </x:c>
      <x:c r="Z54" s="100" t="str">
        <x:f>IF(U54="","",IF(U54&lt;=2000,"PASS","FAIL"))</x:f>
      </x:c>
      <x:c r="AA54" s="101" t="str">
        <x:f>IF(COUNTBLANK(V54:Z54)&gt;0,"",IF(COUNTIF(V54:Z54,"FAIL")=0,"PASS","FAIL"))</x:f>
      </x:c>
    </x:row>
    <x:row r="55">
      <x:c r="A55" s="96" t="n">
        <x:f>'测试用例'!A55</x:f>
        <x:v>51</x:v>
      </x:c>
      <x:c r="B55" s="97" t="n">
        <x:f>'测试用例'!B55</x:f>
        <x:v>2</x:v>
      </x:c>
      <x:c r="C55" s="58" t="n">
        <x:f>'测试用例'!E55</x:f>
        <x:v>150</x:v>
      </x:c>
      <x:c r="D55" s="58" t="n">
        <x:f>'测试用例'!W55</x:f>
        <x:v>39.28550460627906</x:v>
      </x:c>
      <x:c r="E55" s="58" t="n">
        <x:f>'测试用例'!F55</x:f>
        <x:v>10</x:v>
      </x:c>
      <x:c r="F55" s="58" t="n">
        <x:f>'测试用例'!Q55</x:f>
        <x:v>43.447090572784575</x:v>
      </x:c>
      <x:c r="G55" s="58" t="n">
        <x:f>'测试用例'!S55</x:f>
        <x:v>34.62733118650931</x:v>
      </x:c>
      <x:c r="H55" s="58" t="str">
        <x:f>'测试用例'!U55</x:f>
      </x:c>
      <x:c r="I55" s="90"/>
      <x:c r="J55" s="91" t="str">
        <x:f>IF(I55="","",I55-C55)</x:f>
      </x:c>
      <x:c r="K55" s="90"/>
      <x:c r="L55" s="91" t="str">
        <x:f>IF(K55="","",K55-D55)</x:f>
      </x:c>
      <x:c r="M55" s="90"/>
      <x:c r="N55" s="91" t="str">
        <x:f>IF(M55="","",M55-E55)</x:f>
      </x:c>
      <x:c r="O55" s="90"/>
      <x:c r="P55" s="91" t="str">
        <x:f>IF(O55="","",O55-F55)</x:f>
      </x:c>
      <x:c r="Q55" s="90"/>
      <x:c r="R55" s="91" t="str">
        <x:f>IF(Q55="","",Q55-G55)</x:f>
      </x:c>
      <x:c r="S55" s="90"/>
      <x:c r="T55" s="91" t="str">
        <x:f>IF(OR(H55="",S55=""),"",S55-H55)</x:f>
      </x:c>
      <x:c r="U55" s="94"/>
      <x:c r="V55" s="100" t="str">
        <x:f>IF(I55="","",IF(ABS(J55)&lt;=5,"PASS","FAIL"))</x:f>
      </x:c>
      <x:c r="W55" s="100" t="str">
        <x:f>IF(K55="","",IF(ABS(L55)&lt;=5,"PASS","FAIL"))</x:f>
      </x:c>
      <x:c r="X55" s="100" t="str">
        <x:f>IF(M55="","",IF(ABS(N55)&lt;=1,"PASS","FAIL"))</x:f>
      </x:c>
      <x:c r="Y55" s="100" t="str">
        <x:f>IF(OR(O55="",Q55="",IF(H55="",FALSE,S55="")),"",IF(AND(ABS(P55)&lt;=5,ABS(R55)&lt;=5,IF(H55="",TRUE,ABS(T55)&lt;=5)),"PASS","FAIL"))</x:f>
      </x:c>
      <x:c r="Z55" s="100" t="str">
        <x:f>IF(U55="","",IF(U55&lt;=2000,"PASS","FAIL"))</x:f>
      </x:c>
      <x:c r="AA55" s="101" t="str">
        <x:f>IF(COUNTBLANK(V55:Z55)&gt;0,"",IF(COUNTIF(V55:Z55,"FAIL")=0,"PASS","FAIL"))</x:f>
      </x:c>
    </x:row>
    <x:row r="56">
      <x:c r="A56" s="96" t="n">
        <x:f>'测试用例'!A56</x:f>
        <x:v>52</x:v>
      </x:c>
      <x:c r="B56" s="97" t="n">
        <x:f>'测试用例'!B56</x:f>
        <x:v>2</x:v>
      </x:c>
      <x:c r="C56" s="58" t="n">
        <x:f>'测试用例'!E56</x:f>
        <x:v>175</x:v>
      </x:c>
      <x:c r="D56" s="58" t="n">
        <x:f>'测试用例'!W56</x:f>
        <x:v>44.80901995643488</x:v>
      </x:c>
      <x:c r="E56" s="58" t="n">
        <x:f>'测试用例'!F56</x:f>
        <x:v>28</x:v>
      </x:c>
      <x:c r="F56" s="58" t="n">
        <x:f>'测试用例'!Q56</x:f>
        <x:v>44.96612500995941</x:v>
      </x:c>
      <x:c r="G56" s="58" t="n">
        <x:f>'测试用例'!S56</x:f>
        <x:v>44.651362134889695</x:v>
      </x:c>
      <x:c r="H56" s="58" t="str">
        <x:f>'测试用例'!U56</x:f>
      </x:c>
      <x:c r="I56" s="90"/>
      <x:c r="J56" s="91" t="str">
        <x:f>IF(I56="","",I56-C56)</x:f>
      </x:c>
      <x:c r="K56" s="90"/>
      <x:c r="L56" s="91" t="str">
        <x:f>IF(K56="","",K56-D56)</x:f>
      </x:c>
      <x:c r="M56" s="90"/>
      <x:c r="N56" s="91" t="str">
        <x:f>IF(M56="","",M56-E56)</x:f>
      </x:c>
      <x:c r="O56" s="90"/>
      <x:c r="P56" s="91" t="str">
        <x:f>IF(O56="","",O56-F56)</x:f>
      </x:c>
      <x:c r="Q56" s="90"/>
      <x:c r="R56" s="91" t="str">
        <x:f>IF(Q56="","",Q56-G56)</x:f>
      </x:c>
      <x:c r="S56" s="90"/>
      <x:c r="T56" s="91" t="str">
        <x:f>IF(OR(H56="",S56=""),"",S56-H56)</x:f>
      </x:c>
      <x:c r="U56" s="94"/>
      <x:c r="V56" s="100" t="str">
        <x:f>IF(I56="","",IF(ABS(J56)&lt;=5,"PASS","FAIL"))</x:f>
      </x:c>
      <x:c r="W56" s="100" t="str">
        <x:f>IF(K56="","",IF(ABS(L56)&lt;=5,"PASS","FAIL"))</x:f>
      </x:c>
      <x:c r="X56" s="100" t="str">
        <x:f>IF(M56="","",IF(ABS(N56)&lt;=1,"PASS","FAIL"))</x:f>
      </x:c>
      <x:c r="Y56" s="100" t="str">
        <x:f>IF(OR(O56="",Q56="",IF(H56="",FALSE,S56="")),"",IF(AND(ABS(P56)&lt;=5,ABS(R56)&lt;=5,IF(H56="",TRUE,ABS(T56)&lt;=5)),"PASS","FAIL"))</x:f>
      </x:c>
      <x:c r="Z56" s="100" t="str">
        <x:f>IF(U56="","",IF(U56&lt;=2000,"PASS","FAIL"))</x:f>
      </x:c>
      <x:c r="AA56" s="101" t="str">
        <x:f>IF(COUNTBLANK(V56:Z56)&gt;0,"",IF(COUNTIF(V56:Z56,"FAIL")=0,"PASS","FAIL"))</x:f>
      </x:c>
    </x:row>
    <x:row r="57">
      <x:c r="A57" s="96" t="n">
        <x:f>'测试用例'!A57</x:f>
        <x:v>53</x:v>
      </x:c>
      <x:c r="B57" s="97" t="n">
        <x:f>'测试用例'!B57</x:f>
        <x:v>2</x:v>
      </x:c>
      <x:c r="C57" s="58" t="n">
        <x:f>'测试用例'!E57</x:f>
        <x:v>200</x:v>
      </x:c>
      <x:c r="D57" s="58" t="n">
        <x:f>'测试用例'!W57</x:f>
        <x:v>68.49393674133493</x:v>
      </x:c>
      <x:c r="E57" s="58" t="n">
        <x:f>'测试用例'!F57</x:f>
        <x:v>65</x:v>
      </x:c>
      <x:c r="F57" s="58" t="n">
        <x:f>'测试用例'!Q57</x:f>
        <x:v>93.26593046886715</x:v>
      </x:c>
      <x:c r="G57" s="58" t="n">
        <x:f>'测试用例'!S57</x:f>
        <x:v>22.104025521121514</x:v>
      </x:c>
      <x:c r="H57" s="58" t="n">
        <x:f>'测试用例'!U57</x:f>
        <x:v>13.989889570330073</x:v>
      </x:c>
      <x:c r="I57" s="90"/>
      <x:c r="J57" s="91" t="str">
        <x:f>IF(I57="","",I57-C57)</x:f>
      </x:c>
      <x:c r="K57" s="90"/>
      <x:c r="L57" s="91" t="str">
        <x:f>IF(K57="","",K57-D57)</x:f>
      </x:c>
      <x:c r="M57" s="90"/>
      <x:c r="N57" s="91" t="str">
        <x:f>IF(M57="","",M57-E57)</x:f>
      </x:c>
      <x:c r="O57" s="90"/>
      <x:c r="P57" s="91" t="str">
        <x:f>IF(O57="","",O57-F57)</x:f>
      </x:c>
      <x:c r="Q57" s="90"/>
      <x:c r="R57" s="91" t="str">
        <x:f>IF(Q57="","",Q57-G57)</x:f>
      </x:c>
      <x:c r="S57" s="90"/>
      <x:c r="T57" s="91" t="str">
        <x:f>IF(OR(H57="",S57=""),"",S57-H57)</x:f>
      </x:c>
      <x:c r="U57" s="94"/>
      <x:c r="V57" s="100" t="str">
        <x:f>IF(I57="","",IF(ABS(J57)&lt;=5,"PASS","FAIL"))</x:f>
      </x:c>
      <x:c r="W57" s="100" t="str">
        <x:f>IF(K57="","",IF(ABS(L57)&lt;=5,"PASS","FAIL"))</x:f>
      </x:c>
      <x:c r="X57" s="100" t="str">
        <x:f>IF(M57="","",IF(ABS(N57)&lt;=1,"PASS","FAIL"))</x:f>
      </x:c>
      <x:c r="Y57" s="100" t="str">
        <x:f>IF(OR(O57="",Q57="",IF(H57="",FALSE,S57="")),"",IF(AND(ABS(P57)&lt;=5,ABS(R57)&lt;=5,IF(H57="",TRUE,ABS(T57)&lt;=5)),"PASS","FAIL"))</x:f>
      </x:c>
      <x:c r="Z57" s="100" t="str">
        <x:f>IF(U57="","",IF(U57&lt;=2000,"PASS","FAIL"))</x:f>
      </x:c>
      <x:c r="AA57" s="101" t="str">
        <x:f>IF(COUNTBLANK(V57:Z57)&gt;0,"",IF(COUNTIF(V57:Z57,"FAIL")=0,"PASS","FAIL"))</x:f>
      </x:c>
    </x:row>
    <x:row r="58">
      <x:c r="A58" s="96" t="n">
        <x:f>'测试用例'!A58</x:f>
        <x:v>54</x:v>
      </x:c>
      <x:c r="B58" s="97" t="n">
        <x:f>'测试用例'!B58</x:f>
        <x:v>2</x:v>
      </x:c>
      <x:c r="C58" s="58" t="n">
        <x:f>'测试用例'!E58</x:f>
        <x:v>225</x:v>
      </x:c>
      <x:c r="D58" s="58" t="n">
        <x:f>'测试用例'!W58</x:f>
        <x:v>69.96641463066409</x:v>
      </x:c>
      <x:c r="E58" s="58" t="n">
        <x:f>'测试用例'!F58</x:f>
        <x:v>67.5</x:v>
      </x:c>
      <x:c r="F58" s="58" t="n">
        <x:f>'测试用例'!Q58</x:f>
        <x:v>90.60681332284139</x:v>
      </x:c>
      <x:c r="G58" s="58" t="n">
        <x:f>'测试用例'!S58</x:f>
        <x:v>34.61180268932541</x:v>
      </x:c>
      <x:c r="H58" s="58" t="n">
        <x:f>'测试用例'!U58</x:f>
        <x:v>19.57107167773374</x:v>
      </x:c>
      <x:c r="I58" s="90"/>
      <x:c r="J58" s="91" t="str">
        <x:f>IF(I58="","",I58-C58)</x:f>
      </x:c>
      <x:c r="K58" s="90"/>
      <x:c r="L58" s="91" t="str">
        <x:f>IF(K58="","",K58-D58)</x:f>
      </x:c>
      <x:c r="M58" s="90"/>
      <x:c r="N58" s="91" t="str">
        <x:f>IF(M58="","",M58-E58)</x:f>
      </x:c>
      <x:c r="O58" s="90"/>
      <x:c r="P58" s="91" t="str">
        <x:f>IF(O58="","",O58-F58)</x:f>
      </x:c>
      <x:c r="Q58" s="90"/>
      <x:c r="R58" s="91" t="str">
        <x:f>IF(Q58="","",Q58-G58)</x:f>
      </x:c>
      <x:c r="S58" s="90"/>
      <x:c r="T58" s="91" t="str">
        <x:f>IF(OR(H58="",S58=""),"",S58-H58)</x:f>
      </x:c>
      <x:c r="U58" s="94"/>
      <x:c r="V58" s="100" t="str">
        <x:f>IF(I58="","",IF(ABS(J58)&lt;=5,"PASS","FAIL"))</x:f>
      </x:c>
      <x:c r="W58" s="100" t="str">
        <x:f>IF(K58="","",IF(ABS(L58)&lt;=5,"PASS","FAIL"))</x:f>
      </x:c>
      <x:c r="X58" s="100" t="str">
        <x:f>IF(M58="","",IF(ABS(N58)&lt;=1,"PASS","FAIL"))</x:f>
      </x:c>
      <x:c r="Y58" s="100" t="str">
        <x:f>IF(OR(O58="",Q58="",IF(H58="",FALSE,S58="")),"",IF(AND(ABS(P58)&lt;=5,ABS(R58)&lt;=5,IF(H58="",TRUE,ABS(T58)&lt;=5)),"PASS","FAIL"))</x:f>
      </x:c>
      <x:c r="Z58" s="100" t="str">
        <x:f>IF(U58="","",IF(U58&lt;=2000,"PASS","FAIL"))</x:f>
      </x:c>
      <x:c r="AA58" s="101" t="str">
        <x:f>IF(COUNTBLANK(V58:Z58)&gt;0,"",IF(COUNTIF(V58:Z58,"FAIL")=0,"PASS","FAIL"))</x:f>
      </x:c>
    </x:row>
    <x:row r="59">
      <x:c r="A59" s="96" t="n">
        <x:f>'测试用例'!A59</x:f>
        <x:v>55</x:v>
      </x:c>
      <x:c r="B59" s="97" t="n">
        <x:f>'测试用例'!B59</x:f>
        <x:v>2</x:v>
      </x:c>
      <x:c r="C59" s="58" t="n">
        <x:f>'测试用例'!E59</x:f>
        <x:v>240</x:v>
      </x:c>
      <x:c r="D59" s="58" t="n">
        <x:f>'测试用例'!W59</x:f>
        <x:v>70.52515250747781</x:v>
      </x:c>
      <x:c r="E59" s="58" t="n">
        <x:f>'测试用例'!F59</x:f>
        <x:v>85</x:v>
      </x:c>
      <x:c r="F59" s="58" t="n">
        <x:f>'测试用例'!Q59</x:f>
        <x:v>86.64651359862661</x:v>
      </x:c>
      <x:c r="G59" s="58" t="n">
        <x:f>'测试用例'!S59</x:f>
        <x:v>42.11020560893253</x:v>
      </x:c>
      <x:c r="H59" s="58" t="n">
        <x:f>'测试用例'!U59</x:f>
        <x:v>25.82066105239073</x:v>
      </x:c>
      <x:c r="I59" s="90"/>
      <x:c r="J59" s="91" t="str">
        <x:f>IF(I59="","",I59-C59)</x:f>
      </x:c>
      <x:c r="K59" s="90"/>
      <x:c r="L59" s="91" t="str">
        <x:f>IF(K59="","",K59-D59)</x:f>
      </x:c>
      <x:c r="M59" s="90"/>
      <x:c r="N59" s="91" t="str">
        <x:f>IF(M59="","",M59-E59)</x:f>
      </x:c>
      <x:c r="O59" s="90"/>
      <x:c r="P59" s="91" t="str">
        <x:f>IF(O59="","",O59-F59)</x:f>
      </x:c>
      <x:c r="Q59" s="90"/>
      <x:c r="R59" s="91" t="str">
        <x:f>IF(Q59="","",Q59-G59)</x:f>
      </x:c>
      <x:c r="S59" s="90"/>
      <x:c r="T59" s="91" t="str">
        <x:f>IF(OR(H59="",S59=""),"",S59-H59)</x:f>
      </x:c>
      <x:c r="U59" s="94"/>
      <x:c r="V59" s="100" t="str">
        <x:f>IF(I59="","",IF(ABS(J59)&lt;=5,"PASS","FAIL"))</x:f>
      </x:c>
      <x:c r="W59" s="100" t="str">
        <x:f>IF(K59="","",IF(ABS(L59)&lt;=5,"PASS","FAIL"))</x:f>
      </x:c>
      <x:c r="X59" s="100" t="str">
        <x:f>IF(M59="","",IF(ABS(N59)&lt;=1,"PASS","FAIL"))</x:f>
      </x:c>
      <x:c r="Y59" s="100" t="str">
        <x:f>IF(OR(O59="",Q59="",IF(H59="",FALSE,S59="")),"",IF(AND(ABS(P59)&lt;=5,ABS(R59)&lt;=5,IF(H59="",TRUE,ABS(T59)&lt;=5)),"PASS","FAIL"))</x:f>
      </x:c>
      <x:c r="Z59" s="100" t="str">
        <x:f>IF(U59="","",IF(U59&lt;=2000,"PASS","FAIL"))</x:f>
      </x:c>
      <x:c r="AA59" s="101" t="str">
        <x:f>IF(COUNTBLANK(V59:Z59)&gt;0,"",IF(COUNTIF(V59:Z59,"FAIL")=0,"PASS","FAIL"))</x:f>
      </x:c>
    </x:row>
    <x:row r="60">
      <x:c r="A60" s="96" t="n">
        <x:f>'测试用例'!A60</x:f>
        <x:v>56</x:v>
      </x:c>
      <x:c r="B60" s="97" t="n">
        <x:f>'测试用例'!B60</x:f>
        <x:v>2</x:v>
      </x:c>
      <x:c r="C60" s="58" t="n">
        <x:f>'测试用例'!E60</x:f>
        <x:v>250</x:v>
      </x:c>
      <x:c r="D60" s="58" t="n">
        <x:f>'测试用例'!W60</x:f>
        <x:v>56.81635732598163</x:v>
      </x:c>
      <x:c r="E60" s="58" t="n">
        <x:f>'测试用例'!F60</x:f>
        <x:v>82</x:v>
      </x:c>
      <x:c r="F60" s="58" t="n">
        <x:f>'测试用例'!Q60</x:f>
        <x:v>61.55172218667586</x:v>
      </x:c>
      <x:c r="G60" s="58" t="n">
        <x:f>'测试用例'!S60</x:f>
        <x:v>45.30206752939343</x:v>
      </x:c>
      <x:c r="H60" s="58" t="n">
        <x:f>'测试用例'!U60</x:f>
        <x:v>24.805344041230374</x:v>
      </x:c>
      <x:c r="I60" s="90"/>
      <x:c r="J60" s="91" t="str">
        <x:f>IF(I60="","",I60-C60)</x:f>
      </x:c>
      <x:c r="K60" s="90"/>
      <x:c r="L60" s="91" t="str">
        <x:f>IF(K60="","",K60-D60)</x:f>
      </x:c>
      <x:c r="M60" s="90"/>
      <x:c r="N60" s="91" t="str">
        <x:f>IF(M60="","",M60-E60)</x:f>
      </x:c>
      <x:c r="O60" s="90"/>
      <x:c r="P60" s="91" t="str">
        <x:f>IF(O60="","",O60-F60)</x:f>
      </x:c>
      <x:c r="Q60" s="90"/>
      <x:c r="R60" s="91" t="str">
        <x:f>IF(Q60="","",Q60-G60)</x:f>
      </x:c>
      <x:c r="S60" s="90"/>
      <x:c r="T60" s="91" t="str">
        <x:f>IF(OR(H60="",S60=""),"",S60-H60)</x:f>
      </x:c>
      <x:c r="U60" s="94"/>
      <x:c r="V60" s="100" t="str">
        <x:f>IF(I60="","",IF(ABS(J60)&lt;=5,"PASS","FAIL"))</x:f>
      </x:c>
      <x:c r="W60" s="100" t="str">
        <x:f>IF(K60="","",IF(ABS(L60)&lt;=5,"PASS","FAIL"))</x:f>
      </x:c>
      <x:c r="X60" s="100" t="str">
        <x:f>IF(M60="","",IF(ABS(N60)&lt;=1,"PASS","FAIL"))</x:f>
      </x:c>
      <x:c r="Y60" s="100" t="str">
        <x:f>IF(OR(O60="",Q60="",IF(H60="",FALSE,S60="")),"",IF(AND(ABS(P60)&lt;=5,ABS(R60)&lt;=5,IF(H60="",TRUE,ABS(T60)&lt;=5)),"PASS","FAIL"))</x:f>
      </x:c>
      <x:c r="Z60" s="100" t="str">
        <x:f>IF(U60="","",IF(U60&lt;=2000,"PASS","FAIL"))</x:f>
      </x:c>
      <x:c r="AA60" s="101" t="str">
        <x:f>IF(COUNTBLANK(V60:Z60)&gt;0,"",IF(COUNTIF(V60:Z60,"FAIL")=0,"PASS","FAIL"))</x:f>
      </x:c>
    </x:row>
    <x:row r="61">
      <x:c r="A61" s="96" t="n">
        <x:f>'测试用例'!A61</x:f>
        <x:v>57</x:v>
      </x:c>
      <x:c r="B61" s="97" t="n">
        <x:f>'测试用例'!B61</x:f>
        <x:v>2</x:v>
      </x:c>
      <x:c r="C61" s="58" t="n">
        <x:f>'测试用例'!E61</x:f>
        <x:v>50</x:v>
      </x:c>
      <x:c r="D61" s="58" t="n">
        <x:f>'测试用例'!W61</x:f>
        <x:v>13.42612162372097</x:v>
      </x:c>
      <x:c r="E61" s="58" t="n">
        <x:f>'测试用例'!F61</x:f>
        <x:v>95.5</x:v>
      </x:c>
      <x:c r="F61" s="58" t="n">
        <x:f>'测试用例'!Q61</x:f>
        <x:v>12.768445007931437</x:v>
      </x:c>
      <x:c r="G61" s="58" t="n">
        <x:f>'测试用例'!S61</x:f>
        <x:v>12.602455222828327</x:v>
      </x:c>
      <x:c r="H61" s="58" t="n">
        <x:f>'测试用例'!U61</x:f>
        <x:v>6.21823271886261</x:v>
      </x:c>
      <x:c r="I61" s="90"/>
      <x:c r="J61" s="91" t="str">
        <x:f>IF(I61="","",I61-C61)</x:f>
      </x:c>
      <x:c r="K61" s="90"/>
      <x:c r="L61" s="91" t="str">
        <x:f>IF(K61="","",K61-D61)</x:f>
      </x:c>
      <x:c r="M61" s="90"/>
      <x:c r="N61" s="91" t="str">
        <x:f>IF(M61="","",M61-E61)</x:f>
      </x:c>
      <x:c r="O61" s="90"/>
      <x:c r="P61" s="91" t="str">
        <x:f>IF(O61="","",O61-F61)</x:f>
      </x:c>
      <x:c r="Q61" s="90"/>
      <x:c r="R61" s="91" t="str">
        <x:f>IF(Q61="","",Q61-G61)</x:f>
      </x:c>
      <x:c r="S61" s="90"/>
      <x:c r="T61" s="91" t="str">
        <x:f>IF(OR(H61="",S61=""),"",S61-H61)</x:f>
      </x:c>
      <x:c r="U61" s="94"/>
      <x:c r="V61" s="100" t="str">
        <x:f>IF(I61="","",IF(ABS(J61)&lt;=5,"PASS","FAIL"))</x:f>
      </x:c>
      <x:c r="W61" s="100" t="str">
        <x:f>IF(K61="","",IF(ABS(L61)&lt;=5,"PASS","FAIL"))</x:f>
      </x:c>
      <x:c r="X61" s="100" t="str">
        <x:f>IF(M61="","",IF(ABS(N61)&lt;=1,"PASS","FAIL"))</x:f>
      </x:c>
      <x:c r="Y61" s="100" t="str">
        <x:f>IF(OR(O61="",Q61="",IF(H61="",FALSE,S61="")),"",IF(AND(ABS(P61)&lt;=5,ABS(R61)&lt;=5,IF(H61="",TRUE,ABS(T61)&lt;=5)),"PASS","FAIL"))</x:f>
      </x:c>
      <x:c r="Z61" s="100" t="str">
        <x:f>IF(U61="","",IF(U61&lt;=2000,"PASS","FAIL"))</x:f>
      </x:c>
      <x:c r="AA61" s="101" t="str">
        <x:f>IF(COUNTBLANK(V61:Z61)&gt;0,"",IF(COUNTIF(V61:Z61,"FAIL")=0,"PASS","FAIL"))</x:f>
      </x:c>
    </x:row>
    <x:row r="62">
      <x:c r="A62" s="96" t="n">
        <x:f>'测试用例'!A62</x:f>
        <x:v>58</x:v>
      </x:c>
      <x:c r="B62" s="97" t="n">
        <x:f>'测试用例'!B62</x:f>
        <x:v>2</x:v>
      </x:c>
      <x:c r="C62" s="58" t="n">
        <x:f>'测试用例'!E62</x:f>
        <x:v>60</x:v>
      </x:c>
      <x:c r="D62" s="58" t="n">
        <x:f>'测试用例'!W62</x:f>
        <x:v>21.83053022718413</x:v>
      </x:c>
      <x:c r="E62" s="58" t="n">
        <x:f>'测试用例'!F62</x:f>
        <x:v>250</x:v>
      </x:c>
      <x:c r="F62" s="58" t="n">
        <x:f>'测试用例'!Q62</x:f>
        <x:v>30</x:v>
      </x:c>
      <x:c r="G62" s="58" t="n">
        <x:f>'测试用例'!S62</x:f>
        <x:v>7.29</x:v>
      </x:c>
      <x:c r="H62" s="58" t="str">
        <x:f>'测试用例'!U62</x:f>
      </x:c>
      <x:c r="I62" s="90"/>
      <x:c r="J62" s="91" t="str">
        <x:f>IF(I62="","",I62-C62)</x:f>
      </x:c>
      <x:c r="K62" s="90"/>
      <x:c r="L62" s="91" t="str">
        <x:f>IF(K62="","",K62-D62)</x:f>
      </x:c>
      <x:c r="M62" s="90"/>
      <x:c r="N62" s="91" t="str">
        <x:f>IF(M62="","",M62-E62)</x:f>
      </x:c>
      <x:c r="O62" s="90"/>
      <x:c r="P62" s="91" t="str">
        <x:f>IF(O62="","",O62-F62)</x:f>
      </x:c>
      <x:c r="Q62" s="90"/>
      <x:c r="R62" s="91" t="str">
        <x:f>IF(Q62="","",Q62-G62)</x:f>
      </x:c>
      <x:c r="S62" s="90"/>
      <x:c r="T62" s="91" t="str">
        <x:f>IF(OR(H62="",S62=""),"",S62-H62)</x:f>
      </x:c>
      <x:c r="U62" s="94"/>
      <x:c r="V62" s="100" t="str">
        <x:f>IF(I62="","",IF(ABS(J62)&lt;=5,"PASS","FAIL"))</x:f>
      </x:c>
      <x:c r="W62" s="100" t="str">
        <x:f>IF(K62="","",IF(ABS(L62)&lt;=5,"PASS","FAIL"))</x:f>
      </x:c>
      <x:c r="X62" s="100" t="str">
        <x:f>IF(M62="","",IF(ABS(N62)&lt;=1,"PASS","FAIL"))</x:f>
      </x:c>
      <x:c r="Y62" s="100" t="str">
        <x:f>IF(OR(O62="",Q62="",IF(H62="",FALSE,S62="")),"",IF(AND(ABS(P62)&lt;=5,ABS(R62)&lt;=5,IF(H62="",TRUE,ABS(T62)&lt;=5)),"PASS","FAIL"))</x:f>
      </x:c>
      <x:c r="Z62" s="100" t="str">
        <x:f>IF(U62="","",IF(U62&lt;=2000,"PASS","FAIL"))</x:f>
      </x:c>
      <x:c r="AA62" s="101" t="str">
        <x:f>IF(COUNTBLANK(V62:Z62)&gt;0,"",IF(COUNTIF(V62:Z62,"FAIL")=0,"PASS","FAIL"))</x:f>
      </x:c>
    </x:row>
    <x:row r="63">
      <x:c r="A63" s="96" t="n">
        <x:f>'测试用例'!A63</x:f>
        <x:v>59</x:v>
      </x:c>
      <x:c r="B63" s="97" t="n">
        <x:f>'测试用例'!B63</x:f>
        <x:v>2</x:v>
      </x:c>
      <x:c r="C63" s="58" t="n">
        <x:f>'测试用例'!E63</x:f>
        <x:v>75</x:v>
      </x:c>
      <x:c r="D63" s="58" t="n">
        <x:f>'测试用例'!W63</x:f>
        <x:v>28.98449512854409</x:v>
      </x:c>
      <x:c r="E63" s="58" t="n">
        <x:f>'测试用例'!F63</x:f>
        <x:v>10</x:v>
      </x:c>
      <x:c r="F63" s="58" t="n">
        <x:f>'测试用例'!Q63</x:f>
        <x:v>38.27876473693672</x:v>
      </x:c>
      <x:c r="G63" s="58" t="n">
        <x:f>'测试用例'!S63</x:f>
        <x:v>14.660766894246764</x:v>
      </x:c>
      <x:c r="H63" s="58" t="str">
        <x:f>'测试用例'!U63</x:f>
      </x:c>
      <x:c r="I63" s="90"/>
      <x:c r="J63" s="91" t="str">
        <x:f>IF(I63="","",I63-C63)</x:f>
      </x:c>
      <x:c r="K63" s="90"/>
      <x:c r="L63" s="91" t="str">
        <x:f>IF(K63="","",K63-D63)</x:f>
      </x:c>
      <x:c r="M63" s="90"/>
      <x:c r="N63" s="91" t="str">
        <x:f>IF(M63="","",M63-E63)</x:f>
      </x:c>
      <x:c r="O63" s="90"/>
      <x:c r="P63" s="91" t="str">
        <x:f>IF(O63="","",O63-F63)</x:f>
      </x:c>
      <x:c r="Q63" s="90"/>
      <x:c r="R63" s="91" t="str">
        <x:f>IF(Q63="","",Q63-G63)</x:f>
      </x:c>
      <x:c r="S63" s="90"/>
      <x:c r="T63" s="91" t="str">
        <x:f>IF(OR(H63="",S63=""),"",S63-H63)</x:f>
      </x:c>
      <x:c r="U63" s="94"/>
      <x:c r="V63" s="100" t="str">
        <x:f>IF(I63="","",IF(ABS(J63)&lt;=5,"PASS","FAIL"))</x:f>
      </x:c>
      <x:c r="W63" s="100" t="str">
        <x:f>IF(K63="","",IF(ABS(L63)&lt;=5,"PASS","FAIL"))</x:f>
      </x:c>
      <x:c r="X63" s="100" t="str">
        <x:f>IF(M63="","",IF(ABS(N63)&lt;=1,"PASS","FAIL"))</x:f>
      </x:c>
      <x:c r="Y63" s="100" t="str">
        <x:f>IF(OR(O63="",Q63="",IF(H63="",FALSE,S63="")),"",IF(AND(ABS(P63)&lt;=5,ABS(R63)&lt;=5,IF(H63="",TRUE,ABS(T63)&lt;=5)),"PASS","FAIL"))</x:f>
      </x:c>
      <x:c r="Z63" s="100" t="str">
        <x:f>IF(U63="","",IF(U63&lt;=2000,"PASS","FAIL"))</x:f>
      </x:c>
      <x:c r="AA63" s="101" t="str">
        <x:f>IF(COUNTBLANK(V63:Z63)&gt;0,"",IF(COUNTIF(V63:Z63,"FAIL")=0,"PASS","FAIL"))</x:f>
      </x:c>
    </x:row>
    <x:row r="64">
      <x:c r="A64" s="96" t="n">
        <x:f>'测试用例'!A64</x:f>
        <x:v>60</x:v>
      </x:c>
      <x:c r="B64" s="97" t="n">
        <x:f>'测试用例'!B64</x:f>
        <x:v>2</x:v>
      </x:c>
      <x:c r="C64" s="58" t="n">
        <x:f>'测试用例'!E64</x:f>
        <x:v>100</x:v>
      </x:c>
      <x:c r="D64" s="58" t="n">
        <x:f>'测试用例'!W64</x:f>
        <x:v>27.25417115708938</x:v>
      </x:c>
      <x:c r="E64" s="58" t="n">
        <x:f>'测试用例'!F64</x:f>
        <x:v>33</x:v>
      </x:c>
      <x:c r="F64" s="58" t="n">
        <x:f>'测试用例'!Q64</x:f>
        <x:v>33.12337911046417</x:v>
      </x:c>
      <x:c r="G64" s="58" t="n">
        <x:f>'测试用例'!S64</x:f>
        <x:v>19.70841057072618</x:v>
      </x:c>
      <x:c r="H64" s="58" t="str">
        <x:f>'测试用例'!U64</x:f>
      </x:c>
      <x:c r="I64" s="90"/>
      <x:c r="J64" s="91" t="str">
        <x:f>IF(I64="","",I64-C64)</x:f>
      </x:c>
      <x:c r="K64" s="90"/>
      <x:c r="L64" s="91" t="str">
        <x:f>IF(K64="","",K64-D64)</x:f>
      </x:c>
      <x:c r="M64" s="90"/>
      <x:c r="N64" s="91" t="str">
        <x:f>IF(M64="","",M64-E64)</x:f>
      </x:c>
      <x:c r="O64" s="90"/>
      <x:c r="P64" s="91" t="str">
        <x:f>IF(O64="","",O64-F64)</x:f>
      </x:c>
      <x:c r="Q64" s="90"/>
      <x:c r="R64" s="91" t="str">
        <x:f>IF(Q64="","",Q64-G64)</x:f>
      </x:c>
      <x:c r="S64" s="90"/>
      <x:c r="T64" s="91" t="str">
        <x:f>IF(OR(H64="",S64=""),"",S64-H64)</x:f>
      </x:c>
      <x:c r="U64" s="94"/>
      <x:c r="V64" s="100" t="str">
        <x:f>IF(I64="","",IF(ABS(J64)&lt;=5,"PASS","FAIL"))</x:f>
      </x:c>
      <x:c r="W64" s="100" t="str">
        <x:f>IF(K64="","",IF(ABS(L64)&lt;=5,"PASS","FAIL"))</x:f>
      </x:c>
      <x:c r="X64" s="100" t="str">
        <x:f>IF(M64="","",IF(ABS(N64)&lt;=1,"PASS","FAIL"))</x:f>
      </x:c>
      <x:c r="Y64" s="100" t="str">
        <x:f>IF(OR(O64="",Q64="",IF(H64="",FALSE,S64="")),"",IF(AND(ABS(P64)&lt;=5,ABS(R64)&lt;=5,IF(H64="",TRUE,ABS(T64)&lt;=5)),"PASS","FAIL"))</x:f>
      </x:c>
      <x:c r="Z64" s="100" t="str">
        <x:f>IF(U64="","",IF(U64&lt;=2000,"PASS","FAIL"))</x:f>
      </x:c>
      <x:c r="AA64" s="101" t="str">
        <x:f>IF(COUNTBLANK(V64:Z64)&gt;0,"",IF(COUNTIF(V64:Z64,"FAIL")=0,"PASS","FAIL"))</x:f>
      </x:c>
    </x:row>
    <x:row r="65">
      <x:c r="A65" s="96" t="n">
        <x:f>'测试用例'!A65</x:f>
        <x:v>61</x:v>
      </x:c>
      <x:c r="B65" s="97" t="n">
        <x:f>'测试用例'!B65</x:f>
        <x:v>2</x:v>
      </x:c>
      <x:c r="C65" s="58" t="n">
        <x:f>'测试用例'!E65</x:f>
        <x:v>125</x:v>
      </x:c>
      <x:c r="D65" s="58" t="n">
        <x:f>'测试用例'!W65</x:f>
        <x:v>32.31719592071914</x:v>
      </x:c>
      <x:c r="E65" s="58" t="n">
        <x:f>'测试用例'!F65</x:f>
        <x:v>41.5</x:v>
      </x:c>
      <x:c r="F65" s="58" t="n">
        <x:f>'测试用例'!Q65</x:f>
        <x:v>35.93244672272223</x:v>
      </x:c>
      <x:c r="G65" s="58" t="n">
        <x:f>'测试用例'!S65</x:f>
        <x:v>28.242903124059676</x:v>
      </x:c>
      <x:c r="H65" s="58" t="str">
        <x:f>'测试用例'!U65</x:f>
      </x:c>
      <x:c r="I65" s="90"/>
      <x:c r="J65" s="91" t="str">
        <x:f>IF(I65="","",I65-C65)</x:f>
      </x:c>
      <x:c r="K65" s="90"/>
      <x:c r="L65" s="91" t="str">
        <x:f>IF(K65="","",K65-D65)</x:f>
      </x:c>
      <x:c r="M65" s="90"/>
      <x:c r="N65" s="91" t="str">
        <x:f>IF(M65="","",M65-E65)</x:f>
      </x:c>
      <x:c r="O65" s="90"/>
      <x:c r="P65" s="91" t="str">
        <x:f>IF(O65="","",O65-F65)</x:f>
      </x:c>
      <x:c r="Q65" s="90"/>
      <x:c r="R65" s="91" t="str">
        <x:f>IF(Q65="","",Q65-G65)</x:f>
      </x:c>
      <x:c r="S65" s="90"/>
      <x:c r="T65" s="91" t="str">
        <x:f>IF(OR(H65="",S65=""),"",S65-H65)</x:f>
      </x:c>
      <x:c r="U65" s="94"/>
      <x:c r="V65" s="100" t="str">
        <x:f>IF(I65="","",IF(ABS(J65)&lt;=5,"PASS","FAIL"))</x:f>
      </x:c>
      <x:c r="W65" s="100" t="str">
        <x:f>IF(K65="","",IF(ABS(L65)&lt;=5,"PASS","FAIL"))</x:f>
      </x:c>
      <x:c r="X65" s="100" t="str">
        <x:f>IF(M65="","",IF(ABS(N65)&lt;=1,"PASS","FAIL"))</x:f>
      </x:c>
      <x:c r="Y65" s="100" t="str">
        <x:f>IF(OR(O65="",Q65="",IF(H65="",FALSE,S65="")),"",IF(AND(ABS(P65)&lt;=5,ABS(R65)&lt;=5,IF(H65="",TRUE,ABS(T65)&lt;=5)),"PASS","FAIL"))</x:f>
      </x:c>
      <x:c r="Z65" s="100" t="str">
        <x:f>IF(U65="","",IF(U65&lt;=2000,"PASS","FAIL"))</x:f>
      </x:c>
      <x:c r="AA65" s="101" t="str">
        <x:f>IF(COUNTBLANK(V65:Z65)&gt;0,"",IF(COUNTIF(V65:Z65,"FAIL")=0,"PASS","FAIL"))</x:f>
      </x:c>
    </x:row>
    <x:row r="66">
      <x:c r="A66" s="96" t="n">
        <x:f>'测试用例'!A66</x:f>
        <x:v>62</x:v>
      </x:c>
      <x:c r="B66" s="97" t="n">
        <x:f>'测试用例'!B66</x:f>
        <x:v>2</x:v>
      </x:c>
      <x:c r="C66" s="58" t="n">
        <x:f>'测试用例'!E66</x:f>
        <x:v>150</x:v>
      </x:c>
      <x:c r="D66" s="58" t="n">
        <x:f>'测试用例'!W66</x:f>
        <x:v>41.904031626692934</x:v>
      </x:c>
      <x:c r="E66" s="58" t="n">
        <x:f>'测试用例'!F66</x:f>
        <x:v>88.5</x:v>
      </x:c>
      <x:c r="F66" s="58" t="n">
        <x:f>'测试用例'!Q66</x:f>
        <x:v>39.426679187836484</x:v>
      </x:c>
      <x:c r="G66" s="58" t="n">
        <x:f>'测试用例'!S66</x:f>
        <x:v>39.308399150272976</x:v>
      </x:c>
      <x:c r="H66" s="58" t="n">
        <x:f>'测试用例'!U66</x:f>
        <x:v>20.30473978173579</x:v>
      </x:c>
      <x:c r="I66" s="90"/>
      <x:c r="J66" s="91" t="str">
        <x:f>IF(I66="","",I66-C66)</x:f>
      </x:c>
      <x:c r="K66" s="90"/>
      <x:c r="L66" s="91" t="str">
        <x:f>IF(K66="","",K66-D66)</x:f>
      </x:c>
      <x:c r="M66" s="90"/>
      <x:c r="N66" s="91" t="str">
        <x:f>IF(M66="","",M66-E66)</x:f>
      </x:c>
      <x:c r="O66" s="90"/>
      <x:c r="P66" s="91" t="str">
        <x:f>IF(O66="","",O66-F66)</x:f>
      </x:c>
      <x:c r="Q66" s="90"/>
      <x:c r="R66" s="91" t="str">
        <x:f>IF(Q66="","",Q66-G66)</x:f>
      </x:c>
      <x:c r="S66" s="90"/>
      <x:c r="T66" s="91" t="str">
        <x:f>IF(OR(H66="",S66=""),"",S66-H66)</x:f>
      </x:c>
      <x:c r="U66" s="94"/>
      <x:c r="V66" s="100" t="str">
        <x:f>IF(I66="","",IF(ABS(J66)&lt;=5,"PASS","FAIL"))</x:f>
      </x:c>
      <x:c r="W66" s="100" t="str">
        <x:f>IF(K66="","",IF(ABS(L66)&lt;=5,"PASS","FAIL"))</x:f>
      </x:c>
      <x:c r="X66" s="100" t="str">
        <x:f>IF(M66="","",IF(ABS(N66)&lt;=1,"PASS","FAIL"))</x:f>
      </x:c>
      <x:c r="Y66" s="100" t="str">
        <x:f>IF(OR(O66="",Q66="",IF(H66="",FALSE,S66="")),"",IF(AND(ABS(P66)&lt;=5,ABS(R66)&lt;=5,IF(H66="",TRUE,ABS(T66)&lt;=5)),"PASS","FAIL"))</x:f>
      </x:c>
      <x:c r="Z66" s="100" t="str">
        <x:f>IF(U66="","",IF(U66&lt;=2000,"PASS","FAIL"))</x:f>
      </x:c>
      <x:c r="AA66" s="101" t="str">
        <x:f>IF(COUNTBLANK(V66:Z66)&gt;0,"",IF(COUNTIF(V66:Z66,"FAIL")=0,"PASS","FAIL"))</x:f>
      </x:c>
    </x:row>
    <x:row r="67">
      <x:c r="A67" s="96" t="n">
        <x:f>'测试用例'!A67</x:f>
        <x:v>63</x:v>
      </x:c>
      <x:c r="B67" s="97" t="n">
        <x:f>'测试用例'!B67</x:f>
        <x:v>2</x:v>
      </x:c>
      <x:c r="C67" s="58" t="n">
        <x:f>'测试用例'!E67</x:f>
        <x:v>175</x:v>
      </x:c>
      <x:c r="D67" s="58" t="n">
        <x:f>'测试用例'!W67</x:f>
        <x:v>51.32559041724863</x:v>
      </x:c>
      <x:c r="E67" s="58" t="n">
        <x:f>'测试用例'!F67</x:f>
        <x:v>85</x:v>
      </x:c>
      <x:c r="F67" s="58" t="n">
        <x:f>'测试用例'!Q67</x:f>
        <x:v>69.73170517512025</x:v>
      </x:c>
      <x:c r="G67" s="58" t="n">
        <x:f>'测试用例'!S67</x:f>
        <x:v>16.73560924202886</x:v>
      </x:c>
      <x:c r="H67" s="58" t="n">
        <x:f>'测试用例'!U67</x:f>
        <x:v>11.226804533194361</x:v>
      </x:c>
      <x:c r="I67" s="90"/>
      <x:c r="J67" s="91" t="str">
        <x:f>IF(I67="","",I67-C67)</x:f>
      </x:c>
      <x:c r="K67" s="90"/>
      <x:c r="L67" s="91" t="str">
        <x:f>IF(K67="","",K67-D67)</x:f>
      </x:c>
      <x:c r="M67" s="90"/>
      <x:c r="N67" s="91" t="str">
        <x:f>IF(M67="","",M67-E67)</x:f>
      </x:c>
      <x:c r="O67" s="90"/>
      <x:c r="P67" s="91" t="str">
        <x:f>IF(O67="","",O67-F67)</x:f>
      </x:c>
      <x:c r="Q67" s="90"/>
      <x:c r="R67" s="91" t="str">
        <x:f>IF(Q67="","",Q67-G67)</x:f>
      </x:c>
      <x:c r="S67" s="90"/>
      <x:c r="T67" s="91" t="str">
        <x:f>IF(OR(H67="",S67=""),"",S67-H67)</x:f>
      </x:c>
      <x:c r="U67" s="94"/>
      <x:c r="V67" s="100" t="str">
        <x:f>IF(I67="","",IF(ABS(J67)&lt;=5,"PASS","FAIL"))</x:f>
      </x:c>
      <x:c r="W67" s="100" t="str">
        <x:f>IF(K67="","",IF(ABS(L67)&lt;=5,"PASS","FAIL"))</x:f>
      </x:c>
      <x:c r="X67" s="100" t="str">
        <x:f>IF(M67="","",IF(ABS(N67)&lt;=1,"PASS","FAIL"))</x:f>
      </x:c>
      <x:c r="Y67" s="100" t="str">
        <x:f>IF(OR(O67="",Q67="",IF(H67="",FALSE,S67="")),"",IF(AND(ABS(P67)&lt;=5,ABS(R67)&lt;=5,IF(H67="",TRUE,ABS(T67)&lt;=5)),"PASS","FAIL"))</x:f>
      </x:c>
      <x:c r="Z67" s="100" t="str">
        <x:f>IF(U67="","",IF(U67&lt;=2000,"PASS","FAIL"))</x:f>
      </x:c>
      <x:c r="AA67" s="101" t="str">
        <x:f>IF(COUNTBLANK(V67:Z67)&gt;0,"",IF(COUNTIF(V67:Z67,"FAIL")=0,"PASS","FAIL"))</x:f>
      </x:c>
    </x:row>
    <x:row r="68">
      <x:c r="A68" s="96" t="n">
        <x:f>'测试用例'!A68</x:f>
        <x:v>64</x:v>
      </x:c>
      <x:c r="B68" s="97" t="n">
        <x:f>'测试用例'!B68</x:f>
        <x:v>2</x:v>
      </x:c>
      <x:c r="C68" s="58" t="n">
        <x:f>'测试用例'!E68</x:f>
        <x:v>200</x:v>
      </x:c>
      <x:c r="D68" s="58" t="n">
        <x:f>'测试用例'!W68</x:f>
        <x:v>58.53623706906836</x:v>
      </x:c>
      <x:c r="E68" s="58" t="n">
        <x:f>'测试用例'!F68</x:f>
        <x:v>102</x:v>
      </x:c>
      <x:c r="F68" s="58" t="n">
        <x:f>'测试用例'!Q68</x:f>
        <x:v>75.13366418178427</x:v>
      </x:c>
      <x:c r="G68" s="58" t="n">
        <x:f>'测试用例'!S68</x:f>
        <x:v>31.48100529216761</x:v>
      </x:c>
      <x:c r="H68" s="58" t="n">
        <x:f>'测试用例'!U68</x:f>
        <x:v>14.726198179629717</x:v>
      </x:c>
      <x:c r="I68" s="90"/>
      <x:c r="J68" s="91" t="str">
        <x:f>IF(I68="","",I68-C68)</x:f>
      </x:c>
      <x:c r="K68" s="90"/>
      <x:c r="L68" s="91" t="str">
        <x:f>IF(K68="","",K68-D68)</x:f>
      </x:c>
      <x:c r="M68" s="90"/>
      <x:c r="N68" s="91" t="str">
        <x:f>IF(M68="","",M68-E68)</x:f>
      </x:c>
      <x:c r="O68" s="90"/>
      <x:c r="P68" s="91" t="str">
        <x:f>IF(O68="","",O68-F68)</x:f>
      </x:c>
      <x:c r="Q68" s="90"/>
      <x:c r="R68" s="91" t="str">
        <x:f>IF(Q68="","",Q68-G68)</x:f>
      </x:c>
      <x:c r="S68" s="90"/>
      <x:c r="T68" s="91" t="str">
        <x:f>IF(OR(H68="",S68=""),"",S68-H68)</x:f>
      </x:c>
      <x:c r="U68" s="94"/>
      <x:c r="V68" s="100" t="str">
        <x:f>IF(I68="","",IF(ABS(J68)&lt;=5,"PASS","FAIL"))</x:f>
      </x:c>
      <x:c r="W68" s="100" t="str">
        <x:f>IF(K68="","",IF(ABS(L68)&lt;=5,"PASS","FAIL"))</x:f>
      </x:c>
      <x:c r="X68" s="100" t="str">
        <x:f>IF(M68="","",IF(ABS(N68)&lt;=1,"PASS","FAIL"))</x:f>
      </x:c>
      <x:c r="Y68" s="100" t="str">
        <x:f>IF(OR(O68="",Q68="",IF(H68="",FALSE,S68="")),"",IF(AND(ABS(P68)&lt;=5,ABS(R68)&lt;=5,IF(H68="",TRUE,ABS(T68)&lt;=5)),"PASS","FAIL"))</x:f>
      </x:c>
      <x:c r="Z68" s="100" t="str">
        <x:f>IF(U68="","",IF(U68&lt;=2000,"PASS","FAIL"))</x:f>
      </x:c>
      <x:c r="AA68" s="101" t="str">
        <x:f>IF(COUNTBLANK(V68:Z68)&gt;0,"",IF(COUNTIF(V68:Z68,"FAIL")=0,"PASS","FAIL"))</x:f>
      </x:c>
    </x:row>
    <x:row r="69">
      <x:c r="A69" s="96" t="n">
        <x:f>'测试用例'!A69</x:f>
        <x:v>65</x:v>
      </x:c>
      <x:c r="B69" s="97" t="n">
        <x:f>'测试用例'!B69</x:f>
        <x:v>2</x:v>
      </x:c>
      <x:c r="C69" s="58" t="n">
        <x:f>'测试用例'!E69</x:f>
        <x:v>225</x:v>
      </x:c>
      <x:c r="D69" s="58" t="n">
        <x:f>'测试用例'!W69</x:f>
        <x:v>69.74877985858056</x:v>
      </x:c>
      <x:c r="E69" s="58" t="n">
        <x:f>'测试用例'!F69</x:f>
        <x:v>95.5</x:v>
      </x:c>
      <x:c r="F69" s="58" t="n">
        <x:f>'测试用例'!Q69</x:f>
        <x:v>85.76257045325444</x:v>
      </x:c>
      <x:c r="G69" s="58" t="n">
        <x:f>'测试用例'!S69</x:f>
        <x:v>41.5948466698284</x:v>
      </x:c>
      <x:c r="H69" s="58" t="n">
        <x:f>'测试用例'!U69</x:f>
        <x:v>25.385720854163313</x:v>
      </x:c>
      <x:c r="I69" s="90"/>
      <x:c r="J69" s="91" t="str">
        <x:f>IF(I69="","",I69-C69)</x:f>
      </x:c>
      <x:c r="K69" s="90"/>
      <x:c r="L69" s="91" t="str">
        <x:f>IF(K69="","",K69-D69)</x:f>
      </x:c>
      <x:c r="M69" s="90"/>
      <x:c r="N69" s="91" t="str">
        <x:f>IF(M69="","",M69-E69)</x:f>
      </x:c>
      <x:c r="O69" s="90"/>
      <x:c r="P69" s="91" t="str">
        <x:f>IF(O69="","",O69-F69)</x:f>
      </x:c>
      <x:c r="Q69" s="90"/>
      <x:c r="R69" s="91" t="str">
        <x:f>IF(Q69="","",Q69-G69)</x:f>
      </x:c>
      <x:c r="S69" s="90"/>
      <x:c r="T69" s="91" t="str">
        <x:f>IF(OR(H69="",S69=""),"",S69-H69)</x:f>
      </x:c>
      <x:c r="U69" s="94"/>
      <x:c r="V69" s="100" t="str">
        <x:f>IF(I69="","",IF(ABS(J69)&lt;=5,"PASS","FAIL"))</x:f>
      </x:c>
      <x:c r="W69" s="100" t="str">
        <x:f>IF(K69="","",IF(ABS(L69)&lt;=5,"PASS","FAIL"))</x:f>
      </x:c>
      <x:c r="X69" s="100" t="str">
        <x:f>IF(M69="","",IF(ABS(N69)&lt;=1,"PASS","FAIL"))</x:f>
      </x:c>
      <x:c r="Y69" s="100" t="str">
        <x:f>IF(OR(O69="",Q69="",IF(H69="",FALSE,S69="")),"",IF(AND(ABS(P69)&lt;=5,ABS(R69)&lt;=5,IF(H69="",TRUE,ABS(T69)&lt;=5)),"PASS","FAIL"))</x:f>
      </x:c>
      <x:c r="Z69" s="100" t="str">
        <x:f>IF(U69="","",IF(U69&lt;=2000,"PASS","FAIL"))</x:f>
      </x:c>
      <x:c r="AA69" s="101" t="str">
        <x:f>IF(COUNTBLANK(V69:Z69)&gt;0,"",IF(COUNTIF(V69:Z69,"FAIL")=0,"PASS","FAIL"))</x:f>
      </x:c>
    </x:row>
    <x:row r="70">
      <x:c r="A70" s="96" t="n">
        <x:f>'测试用例'!A70</x:f>
        <x:v>66</x:v>
      </x:c>
      <x:c r="B70" s="97" t="n">
        <x:f>'测试用例'!B70</x:f>
        <x:v>2</x:v>
      </x:c>
      <x:c r="C70" s="58" t="n">
        <x:f>'测试用例'!E70</x:f>
        <x:v>240</x:v>
      </x:c>
      <x:c r="D70" s="58" t="n">
        <x:f>'测试用例'!W70</x:f>
        <x:v>67.21174639791963</x:v>
      </x:c>
      <x:c r="E70" s="58" t="n">
        <x:f>'测试用例'!F70</x:f>
        <x:v>100</x:v>
      </x:c>
      <x:c r="F70" s="58" t="n">
        <x:f>'测试用例'!Q70</x:f>
        <x:v>71.98734836787233</x:v>
      </x:c>
      <x:c r="G70" s="58" t="n">
        <x:f>'测试用例'!S70</x:f>
        <x:v>55.4302582432617</x:v>
      </x:c>
      <x:c r="H70" s="58" t="n">
        <x:f>'测试用例'!U70</x:f>
        <x:v>27.931091166734465</x:v>
      </x:c>
      <x:c r="I70" s="90"/>
      <x:c r="J70" s="91" t="str">
        <x:f>IF(I70="","",I70-C70)</x:f>
      </x:c>
      <x:c r="K70" s="90"/>
      <x:c r="L70" s="91" t="str">
        <x:f>IF(K70="","",K70-D70)</x:f>
      </x:c>
      <x:c r="M70" s="90"/>
      <x:c r="N70" s="91" t="str">
        <x:f>IF(M70="","",M70-E70)</x:f>
      </x:c>
      <x:c r="O70" s="90"/>
      <x:c r="P70" s="91" t="str">
        <x:f>IF(O70="","",O70-F70)</x:f>
      </x:c>
      <x:c r="Q70" s="90"/>
      <x:c r="R70" s="91" t="str">
        <x:f>IF(Q70="","",Q70-G70)</x:f>
      </x:c>
      <x:c r="S70" s="90"/>
      <x:c r="T70" s="91" t="str">
        <x:f>IF(OR(H70="",S70=""),"",S70-H70)</x:f>
      </x:c>
      <x:c r="U70" s="94"/>
      <x:c r="V70" s="100" t="str">
        <x:f>IF(I70="","",IF(ABS(J70)&lt;=5,"PASS","FAIL"))</x:f>
      </x:c>
      <x:c r="W70" s="100" t="str">
        <x:f>IF(K70="","",IF(ABS(L70)&lt;=5,"PASS","FAIL"))</x:f>
      </x:c>
      <x:c r="X70" s="100" t="str">
        <x:f>IF(M70="","",IF(ABS(N70)&lt;=1,"PASS","FAIL"))</x:f>
      </x:c>
      <x:c r="Y70" s="100" t="str">
        <x:f>IF(OR(O70="",Q70="",IF(H70="",FALSE,S70="")),"",IF(AND(ABS(P70)&lt;=5,ABS(R70)&lt;=5,IF(H70="",TRUE,ABS(T70)&lt;=5)),"PASS","FAIL"))</x:f>
      </x:c>
      <x:c r="Z70" s="100" t="str">
        <x:f>IF(U70="","",IF(U70&lt;=2000,"PASS","FAIL"))</x:f>
      </x:c>
      <x:c r="AA70" s="101" t="str">
        <x:f>IF(COUNTBLANK(V70:Z70)&gt;0,"",IF(COUNTIF(V70:Z70,"FAIL")=0,"PASS","FAIL"))</x:f>
      </x:c>
    </x:row>
    <x:row r="71">
      <x:c r="A71" s="96" t="n">
        <x:f>'测试用例'!A71</x:f>
        <x:v>67</x:v>
      </x:c>
      <x:c r="B71" s="97" t="n">
        <x:f>'测试用例'!B71</x:f>
        <x:v>2</x:v>
      </x:c>
      <x:c r="C71" s="58" t="n">
        <x:f>'测试用例'!E71</x:f>
        <x:v>250</x:v>
      </x:c>
      <x:c r="D71" s="58" t="n">
        <x:f>'测试用例'!W71</x:f>
        <x:v>79.8825816896222</x:v>
      </x:c>
      <x:c r="E71" s="58" t="n">
        <x:f>'测试用例'!F71</x:f>
        <x:v>10</x:v>
      </x:c>
      <x:c r="F71" s="58" t="n">
        <x:f>'测试用例'!Q71</x:f>
        <x:v>79.28572546807895</x:v>
      </x:c>
      <x:c r="G71" s="58" t="n">
        <x:f>'测试用例'!S71</x:f>
        <x:v>80.47501135010013</x:v>
      </x:c>
      <x:c r="H71" s="58" t="str">
        <x:f>'测试用例'!U71</x:f>
      </x:c>
      <x:c r="I71" s="90"/>
      <x:c r="J71" s="91" t="str">
        <x:f>IF(I71="","",I71-C71)</x:f>
      </x:c>
      <x:c r="K71" s="90"/>
      <x:c r="L71" s="91" t="str">
        <x:f>IF(K71="","",K71-D71)</x:f>
      </x:c>
      <x:c r="M71" s="90"/>
      <x:c r="N71" s="91" t="str">
        <x:f>IF(M71="","",M71-E71)</x:f>
      </x:c>
      <x:c r="O71" s="90"/>
      <x:c r="P71" s="91" t="str">
        <x:f>IF(O71="","",O71-F71)</x:f>
      </x:c>
      <x:c r="Q71" s="90"/>
      <x:c r="R71" s="91" t="str">
        <x:f>IF(Q71="","",Q71-G71)</x:f>
      </x:c>
      <x:c r="S71" s="90"/>
      <x:c r="T71" s="91" t="str">
        <x:f>IF(OR(H71="",S71=""),"",S71-H71)</x:f>
      </x:c>
      <x:c r="U71" s="94"/>
      <x:c r="V71" s="100" t="str">
        <x:f>IF(I71="","",IF(ABS(J71)&lt;=5,"PASS","FAIL"))</x:f>
      </x:c>
      <x:c r="W71" s="100" t="str">
        <x:f>IF(K71="","",IF(ABS(L71)&lt;=5,"PASS","FAIL"))</x:f>
      </x:c>
      <x:c r="X71" s="100" t="str">
        <x:f>IF(M71="","",IF(ABS(N71)&lt;=1,"PASS","FAIL"))</x:f>
      </x:c>
      <x:c r="Y71" s="100" t="str">
        <x:f>IF(OR(O71="",Q71="",IF(H71="",FALSE,S71="")),"",IF(AND(ABS(P71)&lt;=5,ABS(R71)&lt;=5,IF(H71="",TRUE,ABS(T71)&lt;=5)),"PASS","FAIL"))</x:f>
      </x:c>
      <x:c r="Z71" s="100" t="str">
        <x:f>IF(U71="","",IF(U71&lt;=2000,"PASS","FAIL"))</x:f>
      </x:c>
      <x:c r="AA71" s="101" t="str">
        <x:f>IF(COUNTBLANK(V71:Z71)&gt;0,"",IF(COUNTIF(V71:Z71,"FAIL")=0,"PASS","FAIL"))</x:f>
      </x:c>
    </x:row>
    <x:row r="72">
      <x:c r="A72" s="96" t="n">
        <x:f>'测试用例'!A72</x:f>
        <x:v>68</x:v>
      </x:c>
      <x:c r="B72" s="97" t="n">
        <x:f>'测试用例'!B72</x:f>
        <x:v>3</x:v>
      </x:c>
      <x:c r="C72" s="58" t="n">
        <x:f>'测试用例'!E72</x:f>
        <x:v>50</x:v>
      </x:c>
      <x:c r="D72" s="58" t="n">
        <x:f>'测试用例'!W72</x:f>
        <x:v>14.59552313227863</x:v>
      </x:c>
      <x:c r="E72" s="58" t="n">
        <x:f>'测试用例'!F72</x:f>
        <x:v>10</x:v>
      </x:c>
      <x:c r="F72" s="58" t="n">
        <x:f>'测试用例'!Q72</x:f>
        <x:v>18.01710491007838</x:v>
      </x:c>
      <x:c r="G72" s="58" t="n">
        <x:f>'测试用例'!S72</x:f>
        <x:v>9.00855245503919</x:v>
      </x:c>
      <x:c r="H72" s="58" t="n">
        <x:f>'测试用例'!U72</x:f>
        <x:v>4.504276227519595</x:v>
      </x:c>
      <x:c r="I72" s="90"/>
      <x:c r="J72" s="91" t="str">
        <x:f>IF(I72="","",I72-C72)</x:f>
      </x:c>
      <x:c r="K72" s="90"/>
      <x:c r="L72" s="91" t="str">
        <x:f>IF(K72="","",K72-D72)</x:f>
      </x:c>
      <x:c r="M72" s="90"/>
      <x:c r="N72" s="91" t="str">
        <x:f>IF(M72="","",M72-E72)</x:f>
      </x:c>
      <x:c r="O72" s="90"/>
      <x:c r="P72" s="91" t="str">
        <x:f>IF(O72="","",O72-F72)</x:f>
      </x:c>
      <x:c r="Q72" s="90"/>
      <x:c r="R72" s="91" t="str">
        <x:f>IF(Q72="","",Q72-G72)</x:f>
      </x:c>
      <x:c r="S72" s="90"/>
      <x:c r="T72" s="91" t="str">
        <x:f>IF(OR(H72="",S72=""),"",S72-H72)</x:f>
      </x:c>
      <x:c r="U72" s="94"/>
      <x:c r="V72" s="100" t="str">
        <x:f>IF(I72="","",IF(ABS(J72)&lt;=5,"PASS","FAIL"))</x:f>
      </x:c>
      <x:c r="W72" s="100" t="str">
        <x:f>IF(K72="","",IF(ABS(L72)&lt;=5,"PASS","FAIL"))</x:f>
      </x:c>
      <x:c r="X72" s="100" t="str">
        <x:f>IF(M72="","",IF(ABS(N72)&lt;=1,"PASS","FAIL"))</x:f>
      </x:c>
      <x:c r="Y72" s="100" t="str">
        <x:f>IF(OR(O72="",Q72="",IF(H72="",FALSE,S72="")),"",IF(AND(ABS(P72)&lt;=5,ABS(R72)&lt;=5,IF(H72="",TRUE,ABS(T72)&lt;=5)),"PASS","FAIL"))</x:f>
      </x:c>
      <x:c r="Z72" s="100" t="str">
        <x:f>IF(U72="","",IF(U72&lt;=2000,"PASS","FAIL"))</x:f>
      </x:c>
      <x:c r="AA72" s="101" t="str">
        <x:f>IF(COUNTBLANK(V72:Z72)&gt;0,"",IF(COUNTIF(V72:Z72,"FAIL")=0,"PASS","FAIL"))</x:f>
      </x:c>
    </x:row>
    <x:row r="73">
      <x:c r="A73" s="96" t="n">
        <x:f>'测试用例'!A73</x:f>
        <x:v>69</x:v>
      </x:c>
      <x:c r="B73" s="97" t="n">
        <x:f>'测试用例'!B73</x:f>
        <x:v>3</x:v>
      </x:c>
      <x:c r="C73" s="58" t="n">
        <x:f>'测试用例'!E73</x:f>
        <x:v>250</x:v>
      </x:c>
      <x:c r="D73" s="58" t="n">
        <x:f>'测试用例'!W73</x:f>
        <x:v>78.37263283107337</x:v>
      </x:c>
      <x:c r="E73" s="58" t="n">
        <x:f>'测试用例'!F73</x:f>
        <x:v>250</x:v>
      </x:c>
      <x:c r="F73" s="58" t="n">
        <x:f>'测试用例'!Q73</x:f>
        <x:v>102.90830850873023</x:v>
      </x:c>
      <x:c r="G73" s="58" t="n">
        <x:f>'测试用例'!S73</x:f>
        <x:v>41.16332340349209</x:v>
      </x:c>
      <x:c r="H73" s="58" t="str">
        <x:f>'测试用例'!U73</x:f>
      </x:c>
      <x:c r="I73" s="90"/>
      <x:c r="J73" s="91" t="str">
        <x:f>IF(I73="","",I73-C73)</x:f>
      </x:c>
      <x:c r="K73" s="90"/>
      <x:c r="L73" s="91" t="str">
        <x:f>IF(K73="","",K73-D73)</x:f>
      </x:c>
      <x:c r="M73" s="90"/>
      <x:c r="N73" s="91" t="str">
        <x:f>IF(M73="","",M73-E73)</x:f>
      </x:c>
      <x:c r="O73" s="90"/>
      <x:c r="P73" s="91" t="str">
        <x:f>IF(O73="","",O73-F73)</x:f>
      </x:c>
      <x:c r="Q73" s="90"/>
      <x:c r="R73" s="91" t="str">
        <x:f>IF(Q73="","",Q73-G73)</x:f>
      </x:c>
      <x:c r="S73" s="90"/>
      <x:c r="T73" s="91" t="str">
        <x:f>IF(OR(H73="",S73=""),"",S73-H73)</x:f>
      </x:c>
      <x:c r="U73" s="94"/>
      <x:c r="V73" s="100" t="str">
        <x:f>IF(I73="","",IF(ABS(J73)&lt;=5,"PASS","FAIL"))</x:f>
      </x:c>
      <x:c r="W73" s="100" t="str">
        <x:f>IF(K73="","",IF(ABS(L73)&lt;=5,"PASS","FAIL"))</x:f>
      </x:c>
      <x:c r="X73" s="100" t="str">
        <x:f>IF(M73="","",IF(ABS(N73)&lt;=1,"PASS","FAIL"))</x:f>
      </x:c>
      <x:c r="Y73" s="100" t="str">
        <x:f>IF(OR(O73="",Q73="",IF(H73="",FALSE,S73="")),"",IF(AND(ABS(P73)&lt;=5,ABS(R73)&lt;=5,IF(H73="",TRUE,ABS(T73)&lt;=5)),"PASS","FAIL"))</x:f>
      </x:c>
      <x:c r="Z73" s="100" t="str">
        <x:f>IF(U73="","",IF(U73&lt;=2000,"PASS","FAIL"))</x:f>
      </x:c>
      <x:c r="AA73" s="101" t="str">
        <x:f>IF(COUNTBLANK(V73:Z73)&gt;0,"",IF(COUNTIF(V73:Z73,"FAIL")=0,"PASS","FAIL"))</x:f>
      </x:c>
    </x:row>
    <x:row r="74">
      <x:c r="A74" s="96" t="n">
        <x:f>'测试用例'!A74</x:f>
        <x:v>70</x:v>
      </x:c>
      <x:c r="B74" s="97" t="n">
        <x:f>'测试用例'!B74</x:f>
        <x:v>3</x:v>
      </x:c>
      <x:c r="C74" s="58" t="n">
        <x:f>'测试用例'!E74</x:f>
        <x:v>150</x:v>
      </x:c>
      <x:c r="D74" s="58" t="n">
        <x:f>'测试用例'!W74</x:f>
        <x:v>49.60699951614041</x:v>
      </x:c>
      <x:c r="E74" s="58" t="n">
        <x:f>'测试用例'!F74</x:f>
        <x:v>125</x:v>
      </x:c>
      <x:c r="F74" s="58" t="n">
        <x:f>'测试用例'!Q74</x:f>
        <x:v>64.04236099377707</x:v>
      </x:c>
      <x:c r="G74" s="58" t="n">
        <x:f>'测试用例'!S74</x:f>
        <x:v>25.616944397510828</x:v>
      </x:c>
      <x:c r="H74" s="58" t="n">
        <x:f>'测试用例'!U74</x:f>
        <x:v>12.808472198755414</x:v>
      </x:c>
      <x:c r="I74" s="90"/>
      <x:c r="J74" s="91" t="str">
        <x:f>IF(I74="","",I74-C74)</x:f>
      </x:c>
      <x:c r="K74" s="90"/>
      <x:c r="L74" s="91" t="str">
        <x:f>IF(K74="","",K74-D74)</x:f>
      </x:c>
      <x:c r="M74" s="90"/>
      <x:c r="N74" s="91" t="str">
        <x:f>IF(M74="","",M74-E74)</x:f>
      </x:c>
      <x:c r="O74" s="90"/>
      <x:c r="P74" s="91" t="str">
        <x:f>IF(O74="","",O74-F74)</x:f>
      </x:c>
      <x:c r="Q74" s="90"/>
      <x:c r="R74" s="91" t="str">
        <x:f>IF(Q74="","",Q74-G74)</x:f>
      </x:c>
      <x:c r="S74" s="90"/>
      <x:c r="T74" s="91" t="str">
        <x:f>IF(OR(H74="",S74=""),"",S74-H74)</x:f>
      </x:c>
      <x:c r="U74" s="94"/>
      <x:c r="V74" s="100" t="str">
        <x:f>IF(I74="","",IF(ABS(J74)&lt;=5,"PASS","FAIL"))</x:f>
      </x:c>
      <x:c r="W74" s="100" t="str">
        <x:f>IF(K74="","",IF(ABS(L74)&lt;=5,"PASS","FAIL"))</x:f>
      </x:c>
      <x:c r="X74" s="100" t="str">
        <x:f>IF(M74="","",IF(ABS(N74)&lt;=1,"PASS","FAIL"))</x:f>
      </x:c>
      <x:c r="Y74" s="100" t="str">
        <x:f>IF(OR(O74="",Q74="",IF(H74="",FALSE,S74="")),"",IF(AND(ABS(P74)&lt;=5,ABS(R74)&lt;=5,IF(H74="",TRUE,ABS(T74)&lt;=5)),"PASS","FAIL"))</x:f>
      </x:c>
      <x:c r="Z74" s="100" t="str">
        <x:f>IF(U74="","",IF(U74&lt;=2000,"PASS","FAIL"))</x:f>
      </x:c>
      <x:c r="AA74" s="101" t="str">
        <x:f>IF(COUNTBLANK(V74:Z74)&gt;0,"",IF(COUNTIF(V74:Z74,"FAIL")=0,"PASS","FAIL"))</x:f>
      </x:c>
    </x:row>
    <x:row r="75">
      <x:c r="A75" s="96" t="n">
        <x:f>'测试用例'!A75</x:f>
        <x:v>71</x:v>
      </x:c>
      <x:c r="B75" s="97" t="n">
        <x:f>'测试用例'!B75</x:f>
        <x:v>3</x:v>
      </x:c>
      <x:c r="C75" s="58" t="n">
        <x:f>'测试用例'!E75</x:f>
        <x:v>100</x:v>
      </x:c>
      <x:c r="D75" s="58" t="n">
        <x:f>'测试用例'!W75</x:f>
        <x:v>29.716296679371865</x:v>
      </x:c>
      <x:c r="E75" s="58" t="n">
        <x:f>'测试用例'!F75</x:f>
        <x:v>100</x:v>
      </x:c>
      <x:c r="F75" s="58" t="n">
        <x:f>'测试用例'!Q75</x:f>
        <x:v>36.68259300875573</x:v>
      </x:c>
      <x:c r="G75" s="58" t="n">
        <x:f>'测试用例'!S75</x:f>
        <x:v>18.341296504377866</x:v>
      </x:c>
      <x:c r="H75" s="58" t="n">
        <x:f>'测试用例'!U75</x:f>
        <x:v>9.170648252188933</x:v>
      </x:c>
      <x:c r="I75" s="90"/>
      <x:c r="J75" s="91" t="str">
        <x:f>IF(I75="","",I75-C75)</x:f>
      </x:c>
      <x:c r="K75" s="90"/>
      <x:c r="L75" s="91" t="str">
        <x:f>IF(K75="","",K75-D75)</x:f>
      </x:c>
      <x:c r="M75" s="90"/>
      <x:c r="N75" s="91" t="str">
        <x:f>IF(M75="","",M75-E75)</x:f>
      </x:c>
      <x:c r="O75" s="90"/>
      <x:c r="P75" s="91" t="str">
        <x:f>IF(O75="","",O75-F75)</x:f>
      </x:c>
      <x:c r="Q75" s="90"/>
      <x:c r="R75" s="91" t="str">
        <x:f>IF(Q75="","",Q75-G75)</x:f>
      </x:c>
      <x:c r="S75" s="90"/>
      <x:c r="T75" s="91" t="str">
        <x:f>IF(OR(H75="",S75=""),"",S75-H75)</x:f>
      </x:c>
      <x:c r="U75" s="94"/>
      <x:c r="V75" s="100" t="str">
        <x:f>IF(I75="","",IF(ABS(J75)&lt;=5,"PASS","FAIL"))</x:f>
      </x:c>
      <x:c r="W75" s="100" t="str">
        <x:f>IF(K75="","",IF(ABS(L75)&lt;=5,"PASS","FAIL"))</x:f>
      </x:c>
      <x:c r="X75" s="100" t="str">
        <x:f>IF(M75="","",IF(ABS(N75)&lt;=1,"PASS","FAIL"))</x:f>
      </x:c>
      <x:c r="Y75" s="100" t="str">
        <x:f>IF(OR(O75="",Q75="",IF(H75="",FALSE,S75="")),"",IF(AND(ABS(P75)&lt;=5,ABS(R75)&lt;=5,IF(H75="",TRUE,ABS(T75)&lt;=5)),"PASS","FAIL"))</x:f>
      </x:c>
      <x:c r="Z75" s="100" t="str">
        <x:f>IF(U75="","",IF(U75&lt;=2000,"PASS","FAIL"))</x:f>
      </x:c>
      <x:c r="AA75" s="101" t="str">
        <x:f>IF(COUNTBLANK(V75:Z75)&gt;0,"",IF(COUNTIF(V75:Z75,"FAIL")=0,"PASS","FAIL"))</x:f>
      </x:c>
    </x:row>
    <x:row r="76">
      <x:c r="A76" s="96" t="n">
        <x:f>'测试用例'!A76</x:f>
        <x:v>72</x:v>
      </x:c>
      <x:c r="B76" s="97" t="n">
        <x:f>'测试用例'!B76</x:f>
        <x:v>3</x:v>
      </x:c>
      <x:c r="C76" s="58" t="n">
        <x:f>'测试用例'!E76</x:f>
        <x:v>125</x:v>
      </x:c>
      <x:c r="D76" s="58" t="n">
        <x:f>'测试用例'!W76</x:f>
        <x:v>32.30341336194163</x:v>
      </x:c>
      <x:c r="E76" s="58" t="n">
        <x:f>'测试用例'!F76</x:f>
        <x:v>112</x:v>
      </x:c>
      <x:c r="F76" s="58" t="n">
        <x:f>'测试用例'!Q76</x:f>
        <x:v>39.43217665615142</x:v>
      </x:c>
      <x:c r="G76" s="58" t="n">
        <x:f>'测试用例'!S76</x:f>
        <x:v>23.06782334384858</x:v>
      </x:c>
      <x:c r="H76" s="58" t="str">
        <x:f>'测试用例'!U76</x:f>
      </x:c>
      <x:c r="I76" s="90"/>
      <x:c r="J76" s="91" t="str">
        <x:f>IF(I76="","",I76-C76)</x:f>
      </x:c>
      <x:c r="K76" s="90"/>
      <x:c r="L76" s="91" t="str">
        <x:f>IF(K76="","",K76-D76)</x:f>
      </x:c>
      <x:c r="M76" s="90"/>
      <x:c r="N76" s="91" t="str">
        <x:f>IF(M76="","",M76-E76)</x:f>
      </x:c>
      <x:c r="O76" s="90"/>
      <x:c r="P76" s="91" t="str">
        <x:f>IF(O76="","",O76-F76)</x:f>
      </x:c>
      <x:c r="Q76" s="90"/>
      <x:c r="R76" s="91" t="str">
        <x:f>IF(Q76="","",Q76-G76)</x:f>
      </x:c>
      <x:c r="S76" s="90"/>
      <x:c r="T76" s="91" t="str">
        <x:f>IF(OR(H76="",S76=""),"",S76-H76)</x:f>
      </x:c>
      <x:c r="U76" s="94"/>
      <x:c r="V76" s="100" t="str">
        <x:f>IF(I76="","",IF(ABS(J76)&lt;=5,"PASS","FAIL"))</x:f>
      </x:c>
      <x:c r="W76" s="100" t="str">
        <x:f>IF(K76="","",IF(ABS(L76)&lt;=5,"PASS","FAIL"))</x:f>
      </x:c>
      <x:c r="X76" s="100" t="str">
        <x:f>IF(M76="","",IF(ABS(N76)&lt;=1,"PASS","FAIL"))</x:f>
      </x:c>
      <x:c r="Y76" s="100" t="str">
        <x:f>IF(OR(O76="",Q76="",IF(H76="",FALSE,S76="")),"",IF(AND(ABS(P76)&lt;=5,ABS(R76)&lt;=5,IF(H76="",TRUE,ABS(T76)&lt;=5)),"PASS","FAIL"))</x:f>
      </x:c>
      <x:c r="Z76" s="100" t="str">
        <x:f>IF(U76="","",IF(U76&lt;=2000,"PASS","FAIL"))</x:f>
      </x:c>
      <x:c r="AA76" s="101" t="str">
        <x:f>IF(COUNTBLANK(V76:Z76)&gt;0,"",IF(COUNTIF(V76:Z76,"FAIL")=0,"PASS","FAIL"))</x:f>
      </x:c>
    </x:row>
    <x:row r="77">
      <x:c r="A77" s="96" t="n">
        <x:f>'测试用例'!A77</x:f>
        <x:v>73</x:v>
      </x:c>
      <x:c r="B77" s="97" t="n">
        <x:f>'测试用例'!B77</x:f>
        <x:v>3</x:v>
      </x:c>
      <x:c r="C77" s="58" t="n">
        <x:f>'测试用例'!E77</x:f>
        <x:v>150</x:v>
      </x:c>
      <x:c r="D77" s="58" t="n">
        <x:f>'测试用例'!W77</x:f>
        <x:v>40.86084079202807</x:v>
      </x:c>
      <x:c r="E77" s="58" t="n">
        <x:f>'测试用例'!F77</x:f>
        <x:v>102</x:v>
      </x:c>
      <x:c r="F77" s="58" t="n">
        <x:f>'测试用例'!Q77</x:f>
        <x:v>45.21133254769126</x:v>
      </x:c>
      <x:c r="G77" s="58" t="n">
        <x:f>'测试用例'!S77</x:f>
        <x:v>35.98822070796225</x:v>
      </x:c>
      <x:c r="H77" s="58" t="str">
        <x:f>'测试用例'!U77</x:f>
      </x:c>
      <x:c r="I77" s="90"/>
      <x:c r="J77" s="91" t="str">
        <x:f>IF(I77="","",I77-C77)</x:f>
      </x:c>
      <x:c r="K77" s="90"/>
      <x:c r="L77" s="91" t="str">
        <x:f>IF(K77="","",K77-D77)</x:f>
      </x:c>
      <x:c r="M77" s="90"/>
      <x:c r="N77" s="91" t="str">
        <x:f>IF(M77="","",M77-E77)</x:f>
      </x:c>
      <x:c r="O77" s="90"/>
      <x:c r="P77" s="91" t="str">
        <x:f>IF(O77="","",O77-F77)</x:f>
      </x:c>
      <x:c r="Q77" s="90"/>
      <x:c r="R77" s="91" t="str">
        <x:f>IF(Q77="","",Q77-G77)</x:f>
      </x:c>
      <x:c r="S77" s="90"/>
      <x:c r="T77" s="91" t="str">
        <x:f>IF(OR(H77="",S77=""),"",S77-H77)</x:f>
      </x:c>
      <x:c r="U77" s="94"/>
      <x:c r="V77" s="100" t="str">
        <x:f>IF(I77="","",IF(ABS(J77)&lt;=5,"PASS","FAIL"))</x:f>
      </x:c>
      <x:c r="W77" s="100" t="str">
        <x:f>IF(K77="","",IF(ABS(L77)&lt;=5,"PASS","FAIL"))</x:f>
      </x:c>
      <x:c r="X77" s="100" t="str">
        <x:f>IF(M77="","",IF(ABS(N77)&lt;=1,"PASS","FAIL"))</x:f>
      </x:c>
      <x:c r="Y77" s="100" t="str">
        <x:f>IF(OR(O77="",Q77="",IF(H77="",FALSE,S77="")),"",IF(AND(ABS(P77)&lt;=5,ABS(R77)&lt;=5,IF(H77="",TRUE,ABS(T77)&lt;=5)),"PASS","FAIL"))</x:f>
      </x:c>
      <x:c r="Z77" s="100" t="str">
        <x:f>IF(U77="","",IF(U77&lt;=2000,"PASS","FAIL"))</x:f>
      </x:c>
      <x:c r="AA77" s="101" t="str">
        <x:f>IF(COUNTBLANK(V77:Z77)&gt;0,"",IF(COUNTIF(V77:Z77,"FAIL")=0,"PASS","FAIL"))</x:f>
      </x:c>
    </x:row>
    <x:row r="78">
      <x:c r="A78" s="96" t="n">
        <x:f>'测试用例'!A78</x:f>
        <x:v>74</x:v>
      </x:c>
      <x:c r="B78" s="97" t="n">
        <x:f>'测试用例'!B78</x:f>
        <x:v>3</x:v>
      </x:c>
      <x:c r="C78" s="58" t="n">
        <x:f>'测试用例'!E78</x:f>
        <x:v>175</x:v>
      </x:c>
      <x:c r="D78" s="58" t="n">
        <x:f>'测试用例'!W78</x:f>
        <x:v>43.750195698606746</x:v>
      </x:c>
      <x:c r="E78" s="58" t="n">
        <x:f>'测试用例'!F78</x:f>
        <x:v>95.5</x:v>
      </x:c>
      <x:c r="F78" s="58" t="n">
        <x:f>'测试用例'!Q78</x:f>
        <x:v>43.619142572283145</x:v>
      </x:c>
      <x:c r="G78" s="58" t="n">
        <x:f>'测试用例'!S78</x:f>
        <x:v>43.88085742771685</x:v>
      </x:c>
      <x:c r="H78" s="58" t="str">
        <x:f>'测试用例'!U78</x:f>
      </x:c>
      <x:c r="I78" s="90"/>
      <x:c r="J78" s="91" t="str">
        <x:f>IF(I78="","",I78-C78)</x:f>
      </x:c>
      <x:c r="K78" s="90"/>
      <x:c r="L78" s="91" t="str">
        <x:f>IF(K78="","",K78-D78)</x:f>
      </x:c>
      <x:c r="M78" s="90"/>
      <x:c r="N78" s="91" t="str">
        <x:f>IF(M78="","",M78-E78)</x:f>
      </x:c>
      <x:c r="O78" s="90"/>
      <x:c r="P78" s="91" t="str">
        <x:f>IF(O78="","",O78-F78)</x:f>
      </x:c>
      <x:c r="Q78" s="90"/>
      <x:c r="R78" s="91" t="str">
        <x:f>IF(Q78="","",Q78-G78)</x:f>
      </x:c>
      <x:c r="S78" s="90"/>
      <x:c r="T78" s="91" t="str">
        <x:f>IF(OR(H78="",S78=""),"",S78-H78)</x:f>
      </x:c>
      <x:c r="U78" s="94"/>
      <x:c r="V78" s="100" t="str">
        <x:f>IF(I78="","",IF(ABS(J78)&lt;=5,"PASS","FAIL"))</x:f>
      </x:c>
      <x:c r="W78" s="100" t="str">
        <x:f>IF(K78="","",IF(ABS(L78)&lt;=5,"PASS","FAIL"))</x:f>
      </x:c>
      <x:c r="X78" s="100" t="str">
        <x:f>IF(M78="","",IF(ABS(N78)&lt;=1,"PASS","FAIL"))</x:f>
      </x:c>
      <x:c r="Y78" s="100" t="str">
        <x:f>IF(OR(O78="",Q78="",IF(H78="",FALSE,S78="")),"",IF(AND(ABS(P78)&lt;=5,ABS(R78)&lt;=5,IF(H78="",TRUE,ABS(T78)&lt;=5)),"PASS","FAIL"))</x:f>
      </x:c>
      <x:c r="Z78" s="100" t="str">
        <x:f>IF(U78="","",IF(U78&lt;=2000,"PASS","FAIL"))</x:f>
      </x:c>
      <x:c r="AA78" s="101" t="str">
        <x:f>IF(COUNTBLANK(V78:Z78)&gt;0,"",IF(COUNTIF(V78:Z78,"FAIL")=0,"PASS","FAIL"))</x:f>
      </x:c>
    </x:row>
    <x:row r="79">
      <x:c r="A79" s="96" t="n">
        <x:f>'测试用例'!A79</x:f>
        <x:v>75</x:v>
      </x:c>
      <x:c r="B79" s="97" t="n">
        <x:f>'测试用例'!B79</x:f>
        <x:v>3</x:v>
      </x:c>
      <x:c r="C79" s="58" t="n">
        <x:f>'测试用例'!E79</x:f>
        <x:v>200</x:v>
      </x:c>
      <x:c r="D79" s="58" t="n">
        <x:f>'测试用例'!W79</x:f>
        <x:v>62.11607059879836</x:v>
      </x:c>
      <x:c r="E79" s="58" t="n">
        <x:f>'测试用例'!F79</x:f>
        <x:v>166.5</x:v>
      </x:c>
      <x:c r="F79" s="58" t="n">
        <x:f>'测试用例'!Q79</x:f>
        <x:v>84.29093416079878</x:v>
      </x:c>
      <x:c r="G79" s="58" t="n">
        <x:f>'测试用例'!S79</x:f>
        <x:v>20.7355698035565</x:v>
      </x:c>
      <x:c r="H79" s="58" t="n">
        <x:f>'测试用例'!U79</x:f>
        <x:v>13.486549465727805</x:v>
      </x:c>
      <x:c r="I79" s="90"/>
      <x:c r="J79" s="91" t="str">
        <x:f>IF(I79="","",I79-C79)</x:f>
      </x:c>
      <x:c r="K79" s="90"/>
      <x:c r="L79" s="91" t="str">
        <x:f>IF(K79="","",K79-D79)</x:f>
      </x:c>
      <x:c r="M79" s="90"/>
      <x:c r="N79" s="91" t="str">
        <x:f>IF(M79="","",M79-E79)</x:f>
      </x:c>
      <x:c r="O79" s="90"/>
      <x:c r="P79" s="91" t="str">
        <x:f>IF(O79="","",O79-F79)</x:f>
      </x:c>
      <x:c r="Q79" s="90"/>
      <x:c r="R79" s="91" t="str">
        <x:f>IF(Q79="","",Q79-G79)</x:f>
      </x:c>
      <x:c r="S79" s="90"/>
      <x:c r="T79" s="91" t="str">
        <x:f>IF(OR(H79="",S79=""),"",S79-H79)</x:f>
      </x:c>
      <x:c r="U79" s="94"/>
      <x:c r="V79" s="100" t="str">
        <x:f>IF(I79="","",IF(ABS(J79)&lt;=5,"PASS","FAIL"))</x:f>
      </x:c>
      <x:c r="W79" s="100" t="str">
        <x:f>IF(K79="","",IF(ABS(L79)&lt;=5,"PASS","FAIL"))</x:f>
      </x:c>
      <x:c r="X79" s="100" t="str">
        <x:f>IF(M79="","",IF(ABS(N79)&lt;=1,"PASS","FAIL"))</x:f>
      </x:c>
      <x:c r="Y79" s="100" t="str">
        <x:f>IF(OR(O79="",Q79="",IF(H79="",FALSE,S79="")),"",IF(AND(ABS(P79)&lt;=5,ABS(R79)&lt;=5,IF(H79="",TRUE,ABS(T79)&lt;=5)),"PASS","FAIL"))</x:f>
      </x:c>
      <x:c r="Z79" s="100" t="str">
        <x:f>IF(U79="","",IF(U79&lt;=2000,"PASS","FAIL"))</x:f>
      </x:c>
      <x:c r="AA79" s="101" t="str">
        <x:f>IF(COUNTBLANK(V79:Z79)&gt;0,"",IF(COUNTIF(V79:Z79,"FAIL")=0,"PASS","FAIL"))</x:f>
      </x:c>
    </x:row>
    <x:row r="80">
      <x:c r="A80" s="96" t="n">
        <x:f>'测试用例'!A80</x:f>
        <x:v>76</x:v>
      </x:c>
      <x:c r="B80" s="97" t="n">
        <x:f>'测试用例'!B80</x:f>
        <x:v>3</x:v>
      </x:c>
      <x:c r="C80" s="58" t="n">
        <x:f>'测试用例'!E80</x:f>
        <x:v>225</x:v>
      </x:c>
      <x:c r="D80" s="58" t="n">
        <x:f>'测试用例'!W80</x:f>
        <x:v>68.87383606031541</x:v>
      </x:c>
      <x:c r="E80" s="58" t="n">
        <x:f>'测试用例'!F80</x:f>
        <x:v>10</x:v>
      </x:c>
      <x:c r="F80" s="58" t="n">
        <x:f>'测试用例'!Q80</x:f>
        <x:v>88.32846783671539</x:v>
      </x:c>
      <x:c r="G80" s="58" t="n">
        <x:f>'测试用例'!S80</x:f>
        <x:v>36.303000280890025</x:v>
      </x:c>
      <x:c r="H80" s="58" t="n">
        <x:f>'测试用例'!U80</x:f>
        <x:v>19.16727752056724</x:v>
      </x:c>
      <x:c r="I80" s="90"/>
      <x:c r="J80" s="91" t="str">
        <x:f>IF(I80="","",I80-C80)</x:f>
      </x:c>
      <x:c r="K80" s="90"/>
      <x:c r="L80" s="91" t="str">
        <x:f>IF(K80="","",K80-D80)</x:f>
      </x:c>
      <x:c r="M80" s="90"/>
      <x:c r="N80" s="91" t="str">
        <x:f>IF(M80="","",M80-E80)</x:f>
      </x:c>
      <x:c r="O80" s="90"/>
      <x:c r="P80" s="91" t="str">
        <x:f>IF(O80="","",O80-F80)</x:f>
      </x:c>
      <x:c r="Q80" s="90"/>
      <x:c r="R80" s="91" t="str">
        <x:f>IF(Q80="","",Q80-G80)</x:f>
      </x:c>
      <x:c r="S80" s="90"/>
      <x:c r="T80" s="91" t="str">
        <x:f>IF(OR(H80="",S80=""),"",S80-H80)</x:f>
      </x:c>
      <x:c r="U80" s="94"/>
      <x:c r="V80" s="100" t="str">
        <x:f>IF(I80="","",IF(ABS(J80)&lt;=5,"PASS","FAIL"))</x:f>
      </x:c>
      <x:c r="W80" s="100" t="str">
        <x:f>IF(K80="","",IF(ABS(L80)&lt;=5,"PASS","FAIL"))</x:f>
      </x:c>
      <x:c r="X80" s="100" t="str">
        <x:f>IF(M80="","",IF(ABS(N80)&lt;=1,"PASS","FAIL"))</x:f>
      </x:c>
      <x:c r="Y80" s="100" t="str">
        <x:f>IF(OR(O80="",Q80="",IF(H80="",FALSE,S80="")),"",IF(AND(ABS(P80)&lt;=5,ABS(R80)&lt;=5,IF(H80="",TRUE,ABS(T80)&lt;=5)),"PASS","FAIL"))</x:f>
      </x:c>
      <x:c r="Z80" s="100" t="str">
        <x:f>IF(U80="","",IF(U80&lt;=2000,"PASS","FAIL"))</x:f>
      </x:c>
      <x:c r="AA80" s="101" t="str">
        <x:f>IF(COUNTBLANK(V80:Z80)&gt;0,"",IF(COUNTIF(V80:Z80,"FAIL")=0,"PASS","FAIL"))</x:f>
      </x:c>
    </x:row>
    <x:row r="81">
      <x:c r="A81" s="96" t="n">
        <x:f>'测试用例'!A81</x:f>
        <x:v>77</x:v>
      </x:c>
      <x:c r="B81" s="97" t="n">
        <x:f>'测试用例'!B81</x:f>
        <x:v>3</x:v>
      </x:c>
      <x:c r="C81" s="58" t="n">
        <x:f>'测试用例'!E81</x:f>
        <x:v>240</x:v>
      </x:c>
      <x:c r="D81" s="58" t="n">
        <x:f>'测试用例'!W81</x:f>
        <x:v>63.47266121403842</x:v>
      </x:c>
      <x:c r="E81" s="58" t="n">
        <x:f>'测试用例'!F81</x:f>
        <x:v>33</x:v>
      </x:c>
      <x:c r="F81" s="58" t="n">
        <x:f>'测试用例'!Q81</x:f>
        <x:v>77.1530614216975</x:v>
      </x:c>
      <x:c r="G81" s="58" t="n">
        <x:f>'测试用例'!S81</x:f>
        <x:v>38.962296017957236</x:v>
      </x:c>
      <x:c r="H81" s="58" t="n">
        <x:f>'测试用例'!U81</x:f>
        <x:v>24.226061286413014</x:v>
      </x:c>
      <x:c r="I81" s="90"/>
      <x:c r="J81" s="91" t="str">
        <x:f>IF(I81="","",I81-C81)</x:f>
      </x:c>
      <x:c r="K81" s="90"/>
      <x:c r="L81" s="91" t="str">
        <x:f>IF(K81="","",K81-D81)</x:f>
      </x:c>
      <x:c r="M81" s="90"/>
      <x:c r="N81" s="91" t="str">
        <x:f>IF(M81="","",M81-E81)</x:f>
      </x:c>
      <x:c r="O81" s="90"/>
      <x:c r="P81" s="91" t="str">
        <x:f>IF(O81="","",O81-F81)</x:f>
      </x:c>
      <x:c r="Q81" s="90"/>
      <x:c r="R81" s="91" t="str">
        <x:f>IF(Q81="","",Q81-G81)</x:f>
      </x:c>
      <x:c r="S81" s="90"/>
      <x:c r="T81" s="91" t="str">
        <x:f>IF(OR(H81="",S81=""),"",S81-H81)</x:f>
      </x:c>
      <x:c r="U81" s="94"/>
      <x:c r="V81" s="100" t="str">
        <x:f>IF(I81="","",IF(ABS(J81)&lt;=5,"PASS","FAIL"))</x:f>
      </x:c>
      <x:c r="W81" s="100" t="str">
        <x:f>IF(K81="","",IF(ABS(L81)&lt;=5,"PASS","FAIL"))</x:f>
      </x:c>
      <x:c r="X81" s="100" t="str">
        <x:f>IF(M81="","",IF(ABS(N81)&lt;=1,"PASS","FAIL"))</x:f>
      </x:c>
      <x:c r="Y81" s="100" t="str">
        <x:f>IF(OR(O81="",Q81="",IF(H81="",FALSE,S81="")),"",IF(AND(ABS(P81)&lt;=5,ABS(R81)&lt;=5,IF(H81="",TRUE,ABS(T81)&lt;=5)),"PASS","FAIL"))</x:f>
      </x:c>
      <x:c r="Z81" s="100" t="str">
        <x:f>IF(U81="","",IF(U81&lt;=2000,"PASS","FAIL"))</x:f>
      </x:c>
      <x:c r="AA81" s="101" t="str">
        <x:f>IF(COUNTBLANK(V81:Z81)&gt;0,"",IF(COUNTIF(V81:Z81,"FAIL")=0,"PASS","FAIL"))</x:f>
      </x:c>
    </x:row>
    <x:row r="82">
      <x:c r="A82" s="96" t="n">
        <x:f>'测试用例'!A82</x:f>
        <x:v>78</x:v>
      </x:c>
      <x:c r="B82" s="97" t="n">
        <x:f>'测试用例'!B82</x:f>
        <x:v>3</x:v>
      </x:c>
      <x:c r="C82" s="58" t="n">
        <x:f>'测试用例'!E82</x:f>
        <x:v>250</x:v>
      </x:c>
      <x:c r="D82" s="58" t="n">
        <x:f>'测试用例'!W82</x:f>
        <x:v>54.63602340080809</x:v>
      </x:c>
      <x:c r="E82" s="58" t="n">
        <x:f>'测试用例'!F82</x:f>
        <x:v>41.5</x:v>
      </x:c>
      <x:c r="F82" s="58" t="n">
        <x:f>'测试用例'!Q82</x:f>
        <x:v>58.49156662706943</x:v>
      </x:c>
      <x:c r="G82" s="58" t="n">
        <x:f>'测试用例'!S82</x:f>
        <x:v>44.9800147362164</x:v>
      </x:c>
      <x:c r="H82" s="58" t="n">
        <x:f>'测试用例'!U82</x:f>
        <x:v>22.92869411781122</x:v>
      </x:c>
      <x:c r="I82" s="90"/>
      <x:c r="J82" s="91" t="str">
        <x:f>IF(I82="","",I82-C82)</x:f>
      </x:c>
      <x:c r="K82" s="90"/>
      <x:c r="L82" s="91" t="str">
        <x:f>IF(K82="","",K82-D82)</x:f>
      </x:c>
      <x:c r="M82" s="90"/>
      <x:c r="N82" s="91" t="str">
        <x:f>IF(M82="","",M82-E82)</x:f>
      </x:c>
      <x:c r="O82" s="90"/>
      <x:c r="P82" s="91" t="str">
        <x:f>IF(O82="","",O82-F82)</x:f>
      </x:c>
      <x:c r="Q82" s="90"/>
      <x:c r="R82" s="91" t="str">
        <x:f>IF(Q82="","",Q82-G82)</x:f>
      </x:c>
      <x:c r="S82" s="90"/>
      <x:c r="T82" s="91" t="str">
        <x:f>IF(OR(H82="",S82=""),"",S82-H82)</x:f>
      </x:c>
      <x:c r="U82" s="94"/>
      <x:c r="V82" s="100" t="str">
        <x:f>IF(I82="","",IF(ABS(J82)&lt;=5,"PASS","FAIL"))</x:f>
      </x:c>
      <x:c r="W82" s="100" t="str">
        <x:f>IF(K82="","",IF(ABS(L82)&lt;=5,"PASS","FAIL"))</x:f>
      </x:c>
      <x:c r="X82" s="100" t="str">
        <x:f>IF(M82="","",IF(ABS(N82)&lt;=1,"PASS","FAIL"))</x:f>
      </x:c>
      <x:c r="Y82" s="100" t="str">
        <x:f>IF(OR(O82="",Q82="",IF(H82="",FALSE,S82="")),"",IF(AND(ABS(P82)&lt;=5,ABS(R82)&lt;=5,IF(H82="",TRUE,ABS(T82)&lt;=5)),"PASS","FAIL"))</x:f>
      </x:c>
      <x:c r="Z82" s="100" t="str">
        <x:f>IF(U82="","",IF(U82&lt;=2000,"PASS","FAIL"))</x:f>
      </x:c>
      <x:c r="AA82" s="101" t="str">
        <x:f>IF(COUNTBLANK(V82:Z82)&gt;0,"",IF(COUNTIF(V82:Z82,"FAIL")=0,"PASS","FAIL"))</x:f>
      </x:c>
    </x:row>
    <x:row r="83">
      <x:c r="A83" s="96" t="n">
        <x:f>'测试用例'!A83</x:f>
        <x:v>79</x:v>
      </x:c>
      <x:c r="B83" s="97" t="n">
        <x:f>'测试用例'!B83</x:f>
        <x:v>3</x:v>
      </x:c>
      <x:c r="C83" s="58" t="n">
        <x:f>'测试用例'!E83</x:f>
        <x:v>50</x:v>
      </x:c>
      <x:c r="D83" s="58" t="n">
        <x:f>'测试用例'!W83</x:f>
        <x:v>12.477387477466783</x:v>
      </x:c>
      <x:c r="E83" s="58" t="n">
        <x:f>'测试用例'!F83</x:f>
        <x:v>55</x:v>
      </x:c>
      <x:c r="F83" s="58" t="n">
        <x:f>'测试用例'!Q83</x:f>
        <x:v>11.695974365517493</x:v>
      </x:c>
      <x:c r="G83" s="58" t="n">
        <x:f>'测试用例'!S83</x:f>
        <x:v>11.848022032269219</x:v>
      </x:c>
      <x:c r="H83" s="58" t="n">
        <x:f>'测试用例'!U83</x:f>
        <x:v>5.847987182758747</x:v>
      </x:c>
      <x:c r="I83" s="90"/>
      <x:c r="J83" s="91" t="str">
        <x:f>IF(I83="","",I83-C83)</x:f>
      </x:c>
      <x:c r="K83" s="90"/>
      <x:c r="L83" s="91" t="str">
        <x:f>IF(K83="","",K83-D83)</x:f>
      </x:c>
      <x:c r="M83" s="90"/>
      <x:c r="N83" s="91" t="str">
        <x:f>IF(M83="","",M83-E83)</x:f>
      </x:c>
      <x:c r="O83" s="90"/>
      <x:c r="P83" s="91" t="str">
        <x:f>IF(O83="","",O83-F83)</x:f>
      </x:c>
      <x:c r="Q83" s="90"/>
      <x:c r="R83" s="91" t="str">
        <x:f>IF(Q83="","",Q83-G83)</x:f>
      </x:c>
      <x:c r="S83" s="90"/>
      <x:c r="T83" s="91" t="str">
        <x:f>IF(OR(H83="",S83=""),"",S83-H83)</x:f>
      </x:c>
      <x:c r="U83" s="94"/>
      <x:c r="V83" s="100" t="str">
        <x:f>IF(I83="","",IF(ABS(J83)&lt;=5,"PASS","FAIL"))</x:f>
      </x:c>
      <x:c r="W83" s="100" t="str">
        <x:f>IF(K83="","",IF(ABS(L83)&lt;=5,"PASS","FAIL"))</x:f>
      </x:c>
      <x:c r="X83" s="100" t="str">
        <x:f>IF(M83="","",IF(ABS(N83)&lt;=1,"PASS","FAIL"))</x:f>
      </x:c>
      <x:c r="Y83" s="100" t="str">
        <x:f>IF(OR(O83="",Q83="",IF(H83="",FALSE,S83="")),"",IF(AND(ABS(P83)&lt;=5,ABS(R83)&lt;=5,IF(H83="",TRUE,ABS(T83)&lt;=5)),"PASS","FAIL"))</x:f>
      </x:c>
      <x:c r="Z83" s="100" t="str">
        <x:f>IF(U83="","",IF(U83&lt;=2000,"PASS","FAIL"))</x:f>
      </x:c>
      <x:c r="AA83" s="101" t="str">
        <x:f>IF(COUNTBLANK(V83:Z83)&gt;0,"",IF(COUNTIF(V83:Z83,"FAIL")=0,"PASS","FAIL"))</x:f>
      </x:c>
    </x:row>
    <x:row r="84">
      <x:c r="A84" s="96" t="n">
        <x:f>'测试用例'!A84</x:f>
        <x:v>80</x:v>
      </x:c>
      <x:c r="B84" s="97" t="n">
        <x:f>'测试用例'!B84</x:f>
        <x:v>3</x:v>
      </x:c>
      <x:c r="C84" s="58" t="n">
        <x:f>'测试用例'!E84</x:f>
        <x:v>60</x:v>
      </x:c>
      <x:c r="D84" s="58" t="n">
        <x:f>'测试用例'!W84</x:f>
        <x:v>19.717661443164417</x:v>
      </x:c>
      <x:c r="E84" s="58" t="n">
        <x:f>'测试用例'!F84</x:f>
        <x:v>166</x:v>
      </x:c>
      <x:c r="F84" s="58" t="n">
        <x:f>'测试用例'!Q84</x:f>
        <x:v>26.927739528156206</x:v>
      </x:c>
      <x:c r="G84" s="58" t="n">
        <x:f>'测试用例'!S84</x:f>
        <x:v>7.2435619330740195</x:v>
      </x:c>
      <x:c r="H84" s="58" t="str">
        <x:f>'测试用例'!U84</x:f>
      </x:c>
      <x:c r="I84" s="90"/>
      <x:c r="J84" s="91" t="str">
        <x:f>IF(I84="","",I84-C84)</x:f>
      </x:c>
      <x:c r="K84" s="90"/>
      <x:c r="L84" s="91" t="str">
        <x:f>IF(K84="","",K84-D84)</x:f>
      </x:c>
      <x:c r="M84" s="90"/>
      <x:c r="N84" s="91" t="str">
        <x:f>IF(M84="","",M84-E84)</x:f>
      </x:c>
      <x:c r="O84" s="90"/>
      <x:c r="P84" s="91" t="str">
        <x:f>IF(O84="","",O84-F84)</x:f>
      </x:c>
      <x:c r="Q84" s="90"/>
      <x:c r="R84" s="91" t="str">
        <x:f>IF(Q84="","",Q84-G84)</x:f>
      </x:c>
      <x:c r="S84" s="90"/>
      <x:c r="T84" s="91" t="str">
        <x:f>IF(OR(H84="",S84=""),"",S84-H84)</x:f>
      </x:c>
      <x:c r="U84" s="94"/>
      <x:c r="V84" s="100" t="str">
        <x:f>IF(I84="","",IF(ABS(J84)&lt;=5,"PASS","FAIL"))</x:f>
      </x:c>
      <x:c r="W84" s="100" t="str">
        <x:f>IF(K84="","",IF(ABS(L84)&lt;=5,"PASS","FAIL"))</x:f>
      </x:c>
      <x:c r="X84" s="100" t="str">
        <x:f>IF(M84="","",IF(ABS(N84)&lt;=1,"PASS","FAIL"))</x:f>
      </x:c>
      <x:c r="Y84" s="100" t="str">
        <x:f>IF(OR(O84="",Q84="",IF(H84="",FALSE,S84="")),"",IF(AND(ABS(P84)&lt;=5,ABS(R84)&lt;=5,IF(H84="",TRUE,ABS(T84)&lt;=5)),"PASS","FAIL"))</x:f>
      </x:c>
      <x:c r="Z84" s="100" t="str">
        <x:f>IF(U84="","",IF(U84&lt;=2000,"PASS","FAIL"))</x:f>
      </x:c>
      <x:c r="AA84" s="101" t="str">
        <x:f>IF(COUNTBLANK(V84:Z84)&gt;0,"",IF(COUNTIF(V84:Z84,"FAIL")=0,"PASS","FAIL"))</x:f>
      </x:c>
    </x:row>
    <x:row r="85">
      <x:c r="A85" s="96" t="n">
        <x:f>'测试用例'!A85</x:f>
        <x:v>81</x:v>
      </x:c>
      <x:c r="B85" s="97" t="n">
        <x:f>'测试用例'!B85</x:f>
        <x:v>3</x:v>
      </x:c>
      <x:c r="C85" s="58" t="n">
        <x:f>'测试用例'!E85</x:f>
        <x:v>75</x:v>
      </x:c>
      <x:c r="D85" s="58" t="n">
        <x:f>'测试用例'!W85</x:f>
        <x:v>24.601323144280055</x:v>
      </x:c>
      <x:c r="E85" s="58" t="n">
        <x:f>'测试用例'!F85</x:f>
        <x:v>135.5</x:v>
      </x:c>
      <x:c r="F85" s="58" t="n">
        <x:f>'测试用例'!Q85</x:f>
        <x:v>32.413682599058056</x:v>
      </x:c>
      <x:c r="G85" s="58" t="n">
        <x:f>'测试用例'!S85</x:f>
        <x:v>12.641336213632643</x:v>
      </x:c>
      <x:c r="H85" s="58" t="str">
        <x:f>'测试用例'!U85</x:f>
      </x:c>
      <x:c r="I85" s="90"/>
      <x:c r="J85" s="91" t="str">
        <x:f>IF(I85="","",I85-C85)</x:f>
      </x:c>
      <x:c r="K85" s="90"/>
      <x:c r="L85" s="91" t="str">
        <x:f>IF(K85="","",K85-D85)</x:f>
      </x:c>
      <x:c r="M85" s="90"/>
      <x:c r="N85" s="91" t="str">
        <x:f>IF(M85="","",M85-E85)</x:f>
      </x:c>
      <x:c r="O85" s="90"/>
      <x:c r="P85" s="91" t="str">
        <x:f>IF(O85="","",O85-F85)</x:f>
      </x:c>
      <x:c r="Q85" s="90"/>
      <x:c r="R85" s="91" t="str">
        <x:f>IF(Q85="","",Q85-G85)</x:f>
      </x:c>
      <x:c r="S85" s="90"/>
      <x:c r="T85" s="91" t="str">
        <x:f>IF(OR(H85="",S85=""),"",S85-H85)</x:f>
      </x:c>
      <x:c r="U85" s="94"/>
      <x:c r="V85" s="100" t="str">
        <x:f>IF(I85="","",IF(ABS(J85)&lt;=5,"PASS","FAIL"))</x:f>
      </x:c>
      <x:c r="W85" s="100" t="str">
        <x:f>IF(K85="","",IF(ABS(L85)&lt;=5,"PASS","FAIL"))</x:f>
      </x:c>
      <x:c r="X85" s="100" t="str">
        <x:f>IF(M85="","",IF(ABS(N85)&lt;=1,"PASS","FAIL"))</x:f>
      </x:c>
      <x:c r="Y85" s="100" t="str">
        <x:f>IF(OR(O85="",Q85="",IF(H85="",FALSE,S85="")),"",IF(AND(ABS(P85)&lt;=5,ABS(R85)&lt;=5,IF(H85="",TRUE,ABS(T85)&lt;=5)),"PASS","FAIL"))</x:f>
      </x:c>
      <x:c r="Z85" s="100" t="str">
        <x:f>IF(U85="","",IF(U85&lt;=2000,"PASS","FAIL"))</x:f>
      </x:c>
      <x:c r="AA85" s="101" t="str">
        <x:f>IF(COUNTBLANK(V85:Z85)&gt;0,"",IF(COUNTIF(V85:Z85,"FAIL")=0,"PASS","FAIL"))</x:f>
      </x:c>
    </x:row>
    <x:row r="86">
      <x:c r="A86" s="96" t="n">
        <x:f>'测试用例'!A86</x:f>
        <x:v>82</x:v>
      </x:c>
      <x:c r="B86" s="97" t="n">
        <x:f>'测试用例'!B86</x:f>
        <x:v>3</x:v>
      </x:c>
      <x:c r="C86" s="58" t="n">
        <x:f>'测试用例'!E86</x:f>
        <x:v>100</x:v>
      </x:c>
      <x:c r="D86" s="58" t="n">
        <x:f>'测试用例'!W86</x:f>
        <x:v>28.066938505829825</x:v>
      </x:c>
      <x:c r="E86" s="58" t="n">
        <x:f>'测试用例'!F86</x:f>
        <x:v>119.5</x:v>
      </x:c>
      <x:c r="F86" s="58" t="n">
        <x:f>'测试用例'!Q86</x:f>
        <x:v>33.88575439806615</x:v>
      </x:c>
      <x:c r="G86" s="58" t="n">
        <x:f>'测试用例'!S86</x:f>
        <x:v>20.670310182820348</x:v>
      </x:c>
      <x:c r="H86" s="58" t="str">
        <x:f>'测试用例'!U86</x:f>
      </x:c>
      <x:c r="I86" s="90"/>
      <x:c r="J86" s="91" t="str">
        <x:f>IF(I86="","",I86-C86)</x:f>
      </x:c>
      <x:c r="K86" s="90"/>
      <x:c r="L86" s="91" t="str">
        <x:f>IF(K86="","",K86-D86)</x:f>
      </x:c>
      <x:c r="M86" s="90"/>
      <x:c r="N86" s="91" t="str">
        <x:f>IF(M86="","",M86-E86)</x:f>
      </x:c>
      <x:c r="O86" s="90"/>
      <x:c r="P86" s="91" t="str">
        <x:f>IF(O86="","",O86-F86)</x:f>
      </x:c>
      <x:c r="Q86" s="90"/>
      <x:c r="R86" s="91" t="str">
        <x:f>IF(Q86="","",Q86-G86)</x:f>
      </x:c>
      <x:c r="S86" s="90"/>
      <x:c r="T86" s="91" t="str">
        <x:f>IF(OR(H86="",S86=""),"",S86-H86)</x:f>
      </x:c>
      <x:c r="U86" s="94"/>
      <x:c r="V86" s="100" t="str">
        <x:f>IF(I86="","",IF(ABS(J86)&lt;=5,"PASS","FAIL"))</x:f>
      </x:c>
      <x:c r="W86" s="100" t="str">
        <x:f>IF(K86="","",IF(ABS(L86)&lt;=5,"PASS","FAIL"))</x:f>
      </x:c>
      <x:c r="X86" s="100" t="str">
        <x:f>IF(M86="","",IF(ABS(N86)&lt;=1,"PASS","FAIL"))</x:f>
      </x:c>
      <x:c r="Y86" s="100" t="str">
        <x:f>IF(OR(O86="",Q86="",IF(H86="",FALSE,S86="")),"",IF(AND(ABS(P86)&lt;=5,ABS(R86)&lt;=5,IF(H86="",TRUE,ABS(T86)&lt;=5)),"PASS","FAIL"))</x:f>
      </x:c>
      <x:c r="Z86" s="100" t="str">
        <x:f>IF(U86="","",IF(U86&lt;=2000,"PASS","FAIL"))</x:f>
      </x:c>
      <x:c r="AA86" s="101" t="str">
        <x:f>IF(COUNTBLANK(V86:Z86)&gt;0,"",IF(COUNTIF(V86:Z86,"FAIL")=0,"PASS","FAIL"))</x:f>
      </x:c>
    </x:row>
    <x:row r="87">
      <x:c r="A87" s="96" t="n">
        <x:f>'测试用例'!A87</x:f>
        <x:v>83</x:v>
      </x:c>
      <x:c r="B87" s="97" t="n">
        <x:f>'测试用例'!B87</x:f>
        <x:v>3</x:v>
      </x:c>
      <x:c r="C87" s="58" t="n">
        <x:f>'测试用例'!E87</x:f>
        <x:v>125</x:v>
      </x:c>
      <x:c r="D87" s="58" t="n">
        <x:f>'测试用例'!W87</x:f>
        <x:v>33.32403223263377</x:v>
      </x:c>
      <x:c r="E87" s="58" t="n">
        <x:f>'测试用例'!F87</x:f>
        <x:v>100</x:v>
      </x:c>
      <x:c r="F87" s="58" t="n">
        <x:f>'测试用例'!Q87</x:f>
        <x:v>36.53141739269133</x:v>
      </x:c>
      <x:c r="G87" s="58" t="n">
        <x:f>'测试用例'!S87</x:f>
        <x:v>29.773105175043433</x:v>
      </x:c>
      <x:c r="H87" s="58" t="str">
        <x:f>'测试用例'!U87</x:f>
      </x:c>
      <x:c r="I87" s="90"/>
      <x:c r="J87" s="91" t="str">
        <x:f>IF(I87="","",I87-C87)</x:f>
      </x:c>
      <x:c r="K87" s="90"/>
      <x:c r="L87" s="91" t="str">
        <x:f>IF(K87="","",K87-D87)</x:f>
      </x:c>
      <x:c r="M87" s="90"/>
      <x:c r="N87" s="91" t="str">
        <x:f>IF(M87="","",M87-E87)</x:f>
      </x:c>
      <x:c r="O87" s="90"/>
      <x:c r="P87" s="91" t="str">
        <x:f>IF(O87="","",O87-F87)</x:f>
      </x:c>
      <x:c r="Q87" s="90"/>
      <x:c r="R87" s="91" t="str">
        <x:f>IF(Q87="","",Q87-G87)</x:f>
      </x:c>
      <x:c r="S87" s="90"/>
      <x:c r="T87" s="91" t="str">
        <x:f>IF(OR(H87="",S87=""),"",S87-H87)</x:f>
      </x:c>
      <x:c r="U87" s="94"/>
      <x:c r="V87" s="100" t="str">
        <x:f>IF(I87="","",IF(ABS(J87)&lt;=5,"PASS","FAIL"))</x:f>
      </x:c>
      <x:c r="W87" s="100" t="str">
        <x:f>IF(K87="","",IF(ABS(L87)&lt;=5,"PASS","FAIL"))</x:f>
      </x:c>
      <x:c r="X87" s="100" t="str">
        <x:f>IF(M87="","",IF(ABS(N87)&lt;=1,"PASS","FAIL"))</x:f>
      </x:c>
      <x:c r="Y87" s="100" t="str">
        <x:f>IF(OR(O87="",Q87="",IF(H87="",FALSE,S87="")),"",IF(AND(ABS(P87)&lt;=5,ABS(R87)&lt;=5,IF(H87="",TRUE,ABS(T87)&lt;=5)),"PASS","FAIL"))</x:f>
      </x:c>
      <x:c r="Z87" s="100" t="str">
        <x:f>IF(U87="","",IF(U87&lt;=2000,"PASS","FAIL"))</x:f>
      </x:c>
      <x:c r="AA87" s="101" t="str">
        <x:f>IF(COUNTBLANK(V87:Z87)&gt;0,"",IF(COUNTIF(V87:Z87,"FAIL")=0,"PASS","FAIL"))</x:f>
      </x:c>
    </x:row>
    <x:row r="88">
      <x:c r="A88" s="96" t="n">
        <x:f>'测试用例'!A88</x:f>
        <x:v>84</x:v>
      </x:c>
      <x:c r="B88" s="97" t="n">
        <x:f>'测试用例'!B88</x:f>
        <x:v>3</x:v>
      </x:c>
      <x:c r="C88" s="58" t="n">
        <x:f>'测试用例'!E88</x:f>
        <x:v>150</x:v>
      </x:c>
      <x:c r="D88" s="58" t="n">
        <x:f>'测试用例'!W88</x:f>
        <x:v>39.156966759172306</x:v>
      </x:c>
      <x:c r="E88" s="58" t="n">
        <x:f>'测试用例'!F88</x:f>
        <x:v>10</x:v>
      </x:c>
      <x:c r="F88" s="58" t="n">
        <x:f>'测试用例'!Q88</x:f>
        <x:v>37.2463897605348</x:v>
      </x:c>
      <x:c r="G88" s="58" t="n">
        <x:f>'测试用例'!S88</x:f>
        <x:v>36.836679473168914</x:v>
      </x:c>
      <x:c r="H88" s="58" t="n">
        <x:f>'测试用例'!U88</x:f>
        <x:v>17.95275986457777</x:v>
      </x:c>
      <x:c r="I88" s="90"/>
      <x:c r="J88" s="91" t="str">
        <x:f>IF(I88="","",I88-C88)</x:f>
      </x:c>
      <x:c r="K88" s="90"/>
      <x:c r="L88" s="91" t="str">
        <x:f>IF(K88="","",K88-D88)</x:f>
      </x:c>
      <x:c r="M88" s="90"/>
      <x:c r="N88" s="91" t="str">
        <x:f>IF(M88="","",M88-E88)</x:f>
      </x:c>
      <x:c r="O88" s="90"/>
      <x:c r="P88" s="91" t="str">
        <x:f>IF(O88="","",O88-F88)</x:f>
      </x:c>
      <x:c r="Q88" s="90"/>
      <x:c r="R88" s="91" t="str">
        <x:f>IF(Q88="","",Q88-G88)</x:f>
      </x:c>
      <x:c r="S88" s="90"/>
      <x:c r="T88" s="91" t="str">
        <x:f>IF(OR(H88="",S88=""),"",S88-H88)</x:f>
      </x:c>
      <x:c r="U88" s="94"/>
      <x:c r="V88" s="100" t="str">
        <x:f>IF(I88="","",IF(ABS(J88)&lt;=5,"PASS","FAIL"))</x:f>
      </x:c>
      <x:c r="W88" s="100" t="str">
        <x:f>IF(K88="","",IF(ABS(L88)&lt;=5,"PASS","FAIL"))</x:f>
      </x:c>
      <x:c r="X88" s="100" t="str">
        <x:f>IF(M88="","",IF(ABS(N88)&lt;=1,"PASS","FAIL"))</x:f>
      </x:c>
      <x:c r="Y88" s="100" t="str">
        <x:f>IF(OR(O88="",Q88="",IF(H88="",FALSE,S88="")),"",IF(AND(ABS(P88)&lt;=5,ABS(R88)&lt;=5,IF(H88="",TRUE,ABS(T88)&lt;=5)),"PASS","FAIL"))</x:f>
      </x:c>
      <x:c r="Z88" s="100" t="str">
        <x:f>IF(U88="","",IF(U88&lt;=2000,"PASS","FAIL"))</x:f>
      </x:c>
      <x:c r="AA88" s="101" t="str">
        <x:f>IF(COUNTBLANK(V88:Z88)&gt;0,"",IF(COUNTIF(V88:Z88,"FAIL")=0,"PASS","FAIL"))</x:f>
      </x:c>
    </x:row>
    <x:row r="89">
      <x:c r="A89" s="96" t="n">
        <x:f>'测试用例'!A89</x:f>
        <x:v>85</x:v>
      </x:c>
      <x:c r="B89" s="97" t="n">
        <x:f>'测试用例'!B89</x:f>
        <x:v>3</x:v>
      </x:c>
      <x:c r="C89" s="58" t="n">
        <x:f>'测试用例'!E89</x:f>
        <x:v>175</x:v>
      </x:c>
      <x:c r="D89" s="58" t="n">
        <x:f>'测试用例'!W89</x:f>
        <x:v>56.83316284122644</x:v>
      </x:c>
      <x:c r="E89" s="58" t="n">
        <x:f>'测试用例'!F89</x:f>
        <x:v>33</x:v>
      </x:c>
      <x:c r="F89" s="58" t="n">
        <x:f>'测试用例'!Q89</x:f>
        <x:v>77.06738878069235</x:v>
      </x:c>
      <x:c r="G89" s="58" t="n">
        <x:f>'测试用例'!S89</x:f>
        <x:v>19.806318916637935</x:v>
      </x:c>
      <x:c r="H89" s="58" t="n">
        <x:f>'测试用例'!U89</x:f>
        <x:v>11.328906150761776</x:v>
      </x:c>
      <x:c r="I89" s="90"/>
      <x:c r="J89" s="91" t="str">
        <x:f>IF(I89="","",I89-C89)</x:f>
      </x:c>
      <x:c r="K89" s="90"/>
      <x:c r="L89" s="91" t="str">
        <x:f>IF(K89="","",K89-D89)</x:f>
      </x:c>
      <x:c r="M89" s="90"/>
      <x:c r="N89" s="91" t="str">
        <x:f>IF(M89="","",M89-E89)</x:f>
      </x:c>
      <x:c r="O89" s="90"/>
      <x:c r="P89" s="91" t="str">
        <x:f>IF(O89="","",O89-F89)</x:f>
      </x:c>
      <x:c r="Q89" s="90"/>
      <x:c r="R89" s="91" t="str">
        <x:f>IF(Q89="","",Q89-G89)</x:f>
      </x:c>
      <x:c r="S89" s="90"/>
      <x:c r="T89" s="91" t="str">
        <x:f>IF(OR(H89="",S89=""),"",S89-H89)</x:f>
      </x:c>
      <x:c r="U89" s="94"/>
      <x:c r="V89" s="100" t="str">
        <x:f>IF(I89="","",IF(ABS(J89)&lt;=5,"PASS","FAIL"))</x:f>
      </x:c>
      <x:c r="W89" s="100" t="str">
        <x:f>IF(K89="","",IF(ABS(L89)&lt;=5,"PASS","FAIL"))</x:f>
      </x:c>
      <x:c r="X89" s="100" t="str">
        <x:f>IF(M89="","",IF(ABS(N89)&lt;=1,"PASS","FAIL"))</x:f>
      </x:c>
      <x:c r="Y89" s="100" t="str">
        <x:f>IF(OR(O89="",Q89="",IF(H89="",FALSE,S89="")),"",IF(AND(ABS(P89)&lt;=5,ABS(R89)&lt;=5,IF(H89="",TRUE,ABS(T89)&lt;=5)),"PASS","FAIL"))</x:f>
      </x:c>
      <x:c r="Z89" s="100" t="str">
        <x:f>IF(U89="","",IF(U89&lt;=2000,"PASS","FAIL"))</x:f>
      </x:c>
      <x:c r="AA89" s="101" t="str">
        <x:f>IF(COUNTBLANK(V89:Z89)&gt;0,"",IF(COUNTIF(V89:Z89,"FAIL")=0,"PASS","FAIL"))</x:f>
      </x:c>
    </x:row>
    <x:row r="90">
      <x:c r="A90" s="96" t="n">
        <x:f>'测试用例'!A90</x:f>
        <x:v>86</x:v>
      </x:c>
      <x:c r="B90" s="97" t="n">
        <x:f>'测试用例'!B90</x:f>
        <x:v>3</x:v>
      </x:c>
      <x:c r="C90" s="58" t="n">
        <x:f>'测试用例'!E90</x:f>
        <x:v>200</x:v>
      </x:c>
      <x:c r="D90" s="58" t="n">
        <x:f>'测试用例'!W90</x:f>
        <x:v>73.8490493574246</x:v>
      </x:c>
      <x:c r="E90" s="58" t="n">
        <x:f>'测试用例'!F90</x:f>
        <x:v>50.5</x:v>
      </x:c>
      <x:c r="F90" s="58" t="n">
        <x:f>'测试用例'!Q90</x:f>
        <x:v>95.02965621835698</x:v>
      </x:c>
      <x:c r="G90" s="58" t="n">
        <x:f>'测试用例'!S90</x:f>
        <x:v>39.24724801818143</x:v>
      </x:c>
      <x:c r="H90" s="58" t="n">
        <x:f>'测试用例'!U90</x:f>
        <x:v>18.3407236501429</x:v>
      </x:c>
      <x:c r="I90" s="90"/>
      <x:c r="J90" s="91" t="str">
        <x:f>IF(I90="","",I90-C90)</x:f>
      </x:c>
      <x:c r="K90" s="90"/>
      <x:c r="L90" s="91" t="str">
        <x:f>IF(K90="","",K90-D90)</x:f>
      </x:c>
      <x:c r="M90" s="90"/>
      <x:c r="N90" s="91" t="str">
        <x:f>IF(M90="","",M90-E90)</x:f>
      </x:c>
      <x:c r="O90" s="90"/>
      <x:c r="P90" s="91" t="str">
        <x:f>IF(O90="","",O90-F90)</x:f>
      </x:c>
      <x:c r="Q90" s="90"/>
      <x:c r="R90" s="91" t="str">
        <x:f>IF(Q90="","",Q90-G90)</x:f>
      </x:c>
      <x:c r="S90" s="90"/>
      <x:c r="T90" s="91" t="str">
        <x:f>IF(OR(H90="",S90=""),"",S90-H90)</x:f>
      </x:c>
      <x:c r="U90" s="94"/>
      <x:c r="V90" s="100" t="str">
        <x:f>IF(I90="","",IF(ABS(J90)&lt;=5,"PASS","FAIL"))</x:f>
      </x:c>
      <x:c r="W90" s="100" t="str">
        <x:f>IF(K90="","",IF(ABS(L90)&lt;=5,"PASS","FAIL"))</x:f>
      </x:c>
      <x:c r="X90" s="100" t="str">
        <x:f>IF(M90="","",IF(ABS(N90)&lt;=1,"PASS","FAIL"))</x:f>
      </x:c>
      <x:c r="Y90" s="100" t="str">
        <x:f>IF(OR(O90="",Q90="",IF(H90="",FALSE,S90="")),"",IF(AND(ABS(P90)&lt;=5,ABS(R90)&lt;=5,IF(H90="",TRUE,ABS(T90)&lt;=5)),"PASS","FAIL"))</x:f>
      </x:c>
      <x:c r="Z90" s="100" t="str">
        <x:f>IF(U90="","",IF(U90&lt;=2000,"PASS","FAIL"))</x:f>
      </x:c>
      <x:c r="AA90" s="101" t="str">
        <x:f>IF(COUNTBLANK(V90:Z90)&gt;0,"",IF(COUNTIF(V90:Z90,"FAIL")=0,"PASS","FAIL"))</x:f>
      </x:c>
    </x:row>
    <x:row r="91">
      <x:c r="A91" s="96" t="n">
        <x:f>'测试用例'!A91</x:f>
        <x:v>87</x:v>
      </x:c>
      <x:c r="B91" s="97" t="n">
        <x:f>'测试用例'!B91</x:f>
        <x:v>3</x:v>
      </x:c>
      <x:c r="C91" s="58" t="n">
        <x:f>'测试用例'!E91</x:f>
        <x:v>225</x:v>
      </x:c>
      <x:c r="D91" s="58" t="n">
        <x:f>'测试用例'!W91</x:f>
        <x:v>59.05232190831059</x:v>
      </x:c>
      <x:c r="E91" s="58" t="n">
        <x:f>'测试用例'!F91</x:f>
        <x:v>55</x:v>
      </x:c>
      <x:c r="F91" s="58" t="n">
        <x:f>'测试用例'!Q91</x:f>
        <x:v>72.14023280012758</x:v>
      </x:c>
      <x:c r="G91" s="58" t="n">
        <x:f>'测试用例'!S91</x:f>
        <x:v>35.63727500326302</x:v>
      </x:c>
      <x:c r="H91" s="58" t="n">
        <x:f>'测试用例'!U91</x:f>
        <x:v>22.36347216803955</x:v>
      </x:c>
      <x:c r="I91" s="90"/>
      <x:c r="J91" s="91" t="str">
        <x:f>IF(I91="","",I91-C91)</x:f>
      </x:c>
      <x:c r="K91" s="90"/>
      <x:c r="L91" s="91" t="str">
        <x:f>IF(K91="","",K91-D91)</x:f>
      </x:c>
      <x:c r="M91" s="90"/>
      <x:c r="N91" s="91" t="str">
        <x:f>IF(M91="","",M91-E91)</x:f>
      </x:c>
      <x:c r="O91" s="90"/>
      <x:c r="P91" s="91" t="str">
        <x:f>IF(O91="","",O91-F91)</x:f>
      </x:c>
      <x:c r="Q91" s="90"/>
      <x:c r="R91" s="91" t="str">
        <x:f>IF(Q91="","",Q91-G91)</x:f>
      </x:c>
      <x:c r="S91" s="90"/>
      <x:c r="T91" s="91" t="str">
        <x:f>IF(OR(H91="",S91=""),"",S91-H91)</x:f>
      </x:c>
      <x:c r="U91" s="94"/>
      <x:c r="V91" s="100" t="str">
        <x:f>IF(I91="","",IF(ABS(J91)&lt;=5,"PASS","FAIL"))</x:f>
      </x:c>
      <x:c r="W91" s="100" t="str">
        <x:f>IF(K91="","",IF(ABS(L91)&lt;=5,"PASS","FAIL"))</x:f>
      </x:c>
      <x:c r="X91" s="100" t="str">
        <x:f>IF(M91="","",IF(ABS(N91)&lt;=1,"PASS","FAIL"))</x:f>
      </x:c>
      <x:c r="Y91" s="100" t="str">
        <x:f>IF(OR(O91="",Q91="",IF(H91="",FALSE,S91="")),"",IF(AND(ABS(P91)&lt;=5,ABS(R91)&lt;=5,IF(H91="",TRUE,ABS(T91)&lt;=5)),"PASS","FAIL"))</x:f>
      </x:c>
      <x:c r="Z91" s="100" t="str">
        <x:f>IF(U91="","",IF(U91&lt;=2000,"PASS","FAIL"))</x:f>
      </x:c>
      <x:c r="AA91" s="101" t="str">
        <x:f>IF(COUNTBLANK(V91:Z91)&gt;0,"",IF(COUNTIF(V91:Z91,"FAIL")=0,"PASS","FAIL"))</x:f>
      </x:c>
    </x:row>
    <x:row r="92">
      <x:c r="A92" s="96" t="n">
        <x:f>'测试用例'!A92</x:f>
        <x:v>88</x:v>
      </x:c>
      <x:c r="B92" s="97" t="n">
        <x:f>'测试用例'!B92</x:f>
        <x:v>3</x:v>
      </x:c>
      <x:c r="C92" s="58" t="n">
        <x:f>'测试用例'!E92</x:f>
        <x:v>240</x:v>
      </x:c>
      <x:c r="D92" s="58" t="n">
        <x:f>'测试用例'!W92</x:f>
        <x:v>62.70044869505367</x:v>
      </x:c>
      <x:c r="E92" s="58" t="n">
        <x:f>'测试用例'!F92</x:f>
        <x:v>68.5</x:v>
      </x:c>
      <x:c r="F92" s="58" t="n">
        <x:f>'测试用例'!Q92</x:f>
        <x:v>66.92703079863429</x:v>
      </x:c>
      <x:c r="G92" s="58" t="n">
        <x:f>'测试用例'!S92</x:f>
        <x:v>50.99839746855933</x:v>
      </x:c>
      <x:c r="H92" s="58" t="n">
        <x:f>'测试用例'!U92</x:f>
        <x:v>27.97549887382913</x:v>
      </x:c>
      <x:c r="I92" s="90"/>
      <x:c r="J92" s="91" t="str">
        <x:f>IF(I92="","",I92-C92)</x:f>
      </x:c>
      <x:c r="K92" s="90"/>
      <x:c r="L92" s="91" t="str">
        <x:f>IF(K92="","",K92-D92)</x:f>
      </x:c>
      <x:c r="M92" s="90"/>
      <x:c r="N92" s="91" t="str">
        <x:f>IF(M92="","",M92-E92)</x:f>
      </x:c>
      <x:c r="O92" s="90"/>
      <x:c r="P92" s="91" t="str">
        <x:f>IF(O92="","",O92-F92)</x:f>
      </x:c>
      <x:c r="Q92" s="90"/>
      <x:c r="R92" s="91" t="str">
        <x:f>IF(Q92="","",Q92-G92)</x:f>
      </x:c>
      <x:c r="S92" s="90"/>
      <x:c r="T92" s="91" t="str">
        <x:f>IF(OR(H92="",S92=""),"",S92-H92)</x:f>
      </x:c>
      <x:c r="U92" s="94"/>
      <x:c r="V92" s="100" t="str">
        <x:f>IF(I92="","",IF(ABS(J92)&lt;=5,"PASS","FAIL"))</x:f>
      </x:c>
      <x:c r="W92" s="100" t="str">
        <x:f>IF(K92="","",IF(ABS(L92)&lt;=5,"PASS","FAIL"))</x:f>
      </x:c>
      <x:c r="X92" s="100" t="str">
        <x:f>IF(M92="","",IF(ABS(N92)&lt;=1,"PASS","FAIL"))</x:f>
      </x:c>
      <x:c r="Y92" s="100" t="str">
        <x:f>IF(OR(O92="",Q92="",IF(H92="",FALSE,S92="")),"",IF(AND(ABS(P92)&lt;=5,ABS(R92)&lt;=5,IF(H92="",TRUE,ABS(T92)&lt;=5)),"PASS","FAIL"))</x:f>
      </x:c>
      <x:c r="Z92" s="100" t="str">
        <x:f>IF(U92="","",IF(U92&lt;=2000,"PASS","FAIL"))</x:f>
      </x:c>
      <x:c r="AA92" s="101" t="str">
        <x:f>IF(COUNTBLANK(V92:Z92)&gt;0,"",IF(COUNTIF(V92:Z92,"FAIL")=0,"PASS","FAIL"))</x:f>
      </x:c>
    </x:row>
    <x:row r="93">
      <x:c r="A93" s="96" t="n">
        <x:f>'测试用例'!A93</x:f>
        <x:v>89</x:v>
      </x:c>
      <x:c r="B93" s="97" t="n">
        <x:f>'测试用例'!B93</x:f>
        <x:v>3</x:v>
      </x:c>
      <x:c r="C93" s="58" t="n">
        <x:f>'测试用例'!E93</x:f>
        <x:v>250</x:v>
      </x:c>
      <x:c r="D93" s="58" t="n">
        <x:f>'测试用例'!W93</x:f>
        <x:v>73.12290996581594</x:v>
      </x:c>
      <x:c r="E93" s="58" t="n">
        <x:f>'测试用例'!F93</x:f>
        <x:v>202</x:v>
      </x:c>
      <x:c r="F93" s="58" t="n">
        <x:f>'测试用例'!Q93</x:f>
        <x:v>73.08635765575953</x:v>
      </x:c>
      <x:c r="G93" s="58" t="n">
        <x:f>'测试用例'!S93</x:f>
        <x:v>73.15944401341528</x:v>
      </x:c>
      <x:c r="H93" s="58" t="str">
        <x:f>'测试用例'!U93</x:f>
      </x:c>
      <x:c r="I93" s="90"/>
      <x:c r="J93" s="91" t="str">
        <x:f>IF(I93="","",I93-C93)</x:f>
      </x:c>
      <x:c r="K93" s="90"/>
      <x:c r="L93" s="91" t="str">
        <x:f>IF(K93="","",K93-D93)</x:f>
      </x:c>
      <x:c r="M93" s="90"/>
      <x:c r="N93" s="91" t="str">
        <x:f>IF(M93="","",M93-E93)</x:f>
      </x:c>
      <x:c r="O93" s="90"/>
      <x:c r="P93" s="91" t="str">
        <x:f>IF(O93="","",O93-F93)</x:f>
      </x:c>
      <x:c r="Q93" s="90"/>
      <x:c r="R93" s="91" t="str">
        <x:f>IF(Q93="","",Q93-G93)</x:f>
      </x:c>
      <x:c r="S93" s="90"/>
      <x:c r="T93" s="91" t="str">
        <x:f>IF(OR(H93="",S93=""),"",S93-H93)</x:f>
      </x:c>
      <x:c r="U93" s="94"/>
      <x:c r="V93" s="100" t="str">
        <x:f>IF(I93="","",IF(ABS(J93)&lt;=5,"PASS","FAIL"))</x:f>
      </x:c>
      <x:c r="W93" s="100" t="str">
        <x:f>IF(K93="","",IF(ABS(L93)&lt;=5,"PASS","FAIL"))</x:f>
      </x:c>
      <x:c r="X93" s="100" t="str">
        <x:f>IF(M93="","",IF(ABS(N93)&lt;=1,"PASS","FAIL"))</x:f>
      </x:c>
      <x:c r="Y93" s="100" t="str">
        <x:f>IF(OR(O93="",Q93="",IF(H93="",FALSE,S93="")),"",IF(AND(ABS(P93)&lt;=5,ABS(R93)&lt;=5,IF(H93="",TRUE,ABS(T93)&lt;=5)),"PASS","FAIL"))</x:f>
      </x:c>
      <x:c r="Z93" s="100" t="str">
        <x:f>IF(U93="","",IF(U93&lt;=2000,"PASS","FAIL"))</x:f>
      </x:c>
      <x:c r="AA93" s="101" t="str">
        <x:f>IF(COUNTBLANK(V93:Z93)&gt;0,"",IF(COUNTIF(V93:Z93,"FAIL")=0,"PASS","FAIL"))</x:f>
      </x:c>
    </x:row>
    <x:row r="94">
      <x:c r="A94" s="96" t="n">
        <x:f>'测试用例'!A94</x:f>
        <x:v>90</x:v>
      </x:c>
      <x:c r="B94" s="97" t="n">
        <x:f>'测试用例'!B94</x:f>
        <x:v>3</x:v>
      </x:c>
      <x:c r="C94" s="58" t="n">
        <x:f>'测试用例'!E94</x:f>
        <x:v>50</x:v>
      </x:c>
      <x:c r="D94" s="58" t="n">
        <x:f>'测试用例'!W94</x:f>
        <x:v>14.544659917366625</x:v>
      </x:c>
      <x:c r="E94" s="58" t="n">
        <x:f>'测试用例'!F94</x:f>
        <x:v>159</x:v>
      </x:c>
      <x:c r="F94" s="58" t="n">
        <x:f>'测试用例'!Q94</x:f>
        <x:v>19.93620414673046</x:v>
      </x:c>
      <x:c r="G94" s="58" t="n">
        <x:f>'测试用例'!S94</x:f>
        <x:v>5.0637958532695375</x:v>
      </x:c>
      <x:c r="H94" s="58" t="str">
        <x:f>'测试用例'!U94</x:f>
      </x:c>
      <x:c r="I94" s="90"/>
      <x:c r="J94" s="91" t="str">
        <x:f>IF(I94="","",I94-C94)</x:f>
      </x:c>
      <x:c r="K94" s="90"/>
      <x:c r="L94" s="91" t="str">
        <x:f>IF(K94="","",K94-D94)</x:f>
      </x:c>
      <x:c r="M94" s="90"/>
      <x:c r="N94" s="91" t="str">
        <x:f>IF(M94="","",M94-E94)</x:f>
      </x:c>
      <x:c r="O94" s="90"/>
      <x:c r="P94" s="91" t="str">
        <x:f>IF(O94="","",O94-F94)</x:f>
      </x:c>
      <x:c r="Q94" s="90"/>
      <x:c r="R94" s="91" t="str">
        <x:f>IF(Q94="","",Q94-G94)</x:f>
      </x:c>
      <x:c r="S94" s="90"/>
      <x:c r="T94" s="91" t="str">
        <x:f>IF(OR(H94="",S94=""),"",S94-H94)</x:f>
      </x:c>
      <x:c r="U94" s="94"/>
      <x:c r="V94" s="100" t="str">
        <x:f>IF(I94="","",IF(ABS(J94)&lt;=5,"PASS","FAIL"))</x:f>
      </x:c>
      <x:c r="W94" s="100" t="str">
        <x:f>IF(K94="","",IF(ABS(L94)&lt;=5,"PASS","FAIL"))</x:f>
      </x:c>
      <x:c r="X94" s="100" t="str">
        <x:f>IF(M94="","",IF(ABS(N94)&lt;=1,"PASS","FAIL"))</x:f>
      </x:c>
      <x:c r="Y94" s="100" t="str">
        <x:f>IF(OR(O94="",Q94="",IF(H94="",FALSE,S94="")),"",IF(AND(ABS(P94)&lt;=5,ABS(R94)&lt;=5,IF(H94="",TRUE,ABS(T94)&lt;=5)),"PASS","FAIL"))</x:f>
      </x:c>
      <x:c r="Z94" s="100" t="str">
        <x:f>IF(U94="","",IF(U94&lt;=2000,"PASS","FAIL"))</x:f>
      </x:c>
      <x:c r="AA94" s="101" t="str">
        <x:f>IF(COUNTBLANK(V94:Z94)&gt;0,"",IF(COUNTIF(V94:Z94,"FAIL")=0,"PASS","FAIL"))</x:f>
      </x:c>
    </x:row>
    <x:row r="95">
      <x:c r="A95" s="96" t="n">
        <x:f>'测试用例'!A95</x:f>
        <x:v>91</x:v>
      </x:c>
      <x:c r="B95" s="97" t="n">
        <x:f>'测试用例'!B95</x:f>
        <x:v>3</x:v>
      </x:c>
      <x:c r="C95" s="58" t="n">
        <x:f>'测试用例'!E95</x:f>
        <x:v>60</x:v>
      </x:c>
      <x:c r="D95" s="58" t="n">
        <x:f>'测试用例'!W95</x:f>
        <x:v>18.084578072153583</x:v>
      </x:c>
      <x:c r="E95" s="58" t="n">
        <x:f>'测试用例'!F95</x:f>
        <x:v>125</x:v>
      </x:c>
      <x:c r="F95" s="58" t="n">
        <x:f>'测试用例'!Q95</x:f>
        <x:v>23.86766202255109</x:v>
      </x:c>
      <x:c r="G95" s="58" t="n">
        <x:f>'测试用例'!S95</x:f>
        <x:v>9.18904987868217</x:v>
      </x:c>
      <x:c r="H95" s="58" t="str">
        <x:f>'测试用例'!U95</x:f>
      </x:c>
      <x:c r="I95" s="90"/>
      <x:c r="J95" s="91" t="str">
        <x:f>IF(I95="","",I95-C95)</x:f>
      </x:c>
      <x:c r="K95" s="90"/>
      <x:c r="L95" s="91" t="str">
        <x:f>IF(K95="","",K95-D95)</x:f>
      </x:c>
      <x:c r="M95" s="90"/>
      <x:c r="N95" s="91" t="str">
        <x:f>IF(M95="","",M95-E95)</x:f>
      </x:c>
      <x:c r="O95" s="90"/>
      <x:c r="P95" s="91" t="str">
        <x:f>IF(O95="","",O95-F95)</x:f>
      </x:c>
      <x:c r="Q95" s="90"/>
      <x:c r="R95" s="91" t="str">
        <x:f>IF(Q95="","",Q95-G95)</x:f>
      </x:c>
      <x:c r="S95" s="90"/>
      <x:c r="T95" s="91" t="str">
        <x:f>IF(OR(H95="",S95=""),"",S95-H95)</x:f>
      </x:c>
      <x:c r="U95" s="94"/>
      <x:c r="V95" s="100" t="str">
        <x:f>IF(I95="","",IF(ABS(J95)&lt;=5,"PASS","FAIL"))</x:f>
      </x:c>
      <x:c r="W95" s="100" t="str">
        <x:f>IF(K95="","",IF(ABS(L95)&lt;=5,"PASS","FAIL"))</x:f>
      </x:c>
      <x:c r="X95" s="100" t="str">
        <x:f>IF(M95="","",IF(ABS(N95)&lt;=1,"PASS","FAIL"))</x:f>
      </x:c>
      <x:c r="Y95" s="100" t="str">
        <x:f>IF(OR(O95="",Q95="",IF(H95="",FALSE,S95="")),"",IF(AND(ABS(P95)&lt;=5,ABS(R95)&lt;=5,IF(H95="",TRUE,ABS(T95)&lt;=5)),"PASS","FAIL"))</x:f>
      </x:c>
      <x:c r="Z95" s="100" t="str">
        <x:f>IF(U95="","",IF(U95&lt;=2000,"PASS","FAIL"))</x:f>
      </x:c>
      <x:c r="AA95" s="101" t="str">
        <x:f>IF(COUNTBLANK(V95:Z95)&gt;0,"",IF(COUNTIF(V95:Z95,"FAIL")=0,"PASS","FAIL"))</x:f>
      </x:c>
    </x:row>
    <x:row r="96">
      <x:c r="A96" s="96" t="n">
        <x:f>'测试用例'!A96</x:f>
        <x:v>92</x:v>
      </x:c>
      <x:c r="B96" s="97" t="n">
        <x:f>'测试用例'!B96</x:f>
        <x:v>3</x:v>
      </x:c>
      <x:c r="C96" s="58" t="n">
        <x:f>'测试用例'!E96</x:f>
        <x:v>75</x:v>
      </x:c>
      <x:c r="D96" s="58" t="n">
        <x:f>'测试用例'!W96</x:f>
        <x:v>19.268778410185394</x:v>
      </x:c>
      <x:c r="E96" s="58" t="n">
        <x:f>'测试用例'!F96</x:f>
        <x:v>10</x:v>
      </x:c>
      <x:c r="F96" s="58" t="n">
        <x:f>'测试用例'!Q96</x:f>
        <x:v>23.19109461966605</x:v>
      </x:c>
      <x:c r="G96" s="58" t="n">
        <x:f>'测试用例'!S96</x:f>
        <x:v>14.308905380333952</x:v>
      </x:c>
      <x:c r="H96" s="58" t="str">
        <x:f>'测试用例'!U96</x:f>
      </x:c>
      <x:c r="I96" s="90"/>
      <x:c r="J96" s="91" t="str">
        <x:f>IF(I96="","",I96-C96)</x:f>
      </x:c>
      <x:c r="K96" s="90"/>
      <x:c r="L96" s="91" t="str">
        <x:f>IF(K96="","",K96-D96)</x:f>
      </x:c>
      <x:c r="M96" s="90"/>
      <x:c r="N96" s="91" t="str">
        <x:f>IF(M96="","",M96-E96)</x:f>
      </x:c>
      <x:c r="O96" s="90"/>
      <x:c r="P96" s="91" t="str">
        <x:f>IF(O96="","",O96-F96)</x:f>
      </x:c>
      <x:c r="Q96" s="90"/>
      <x:c r="R96" s="91" t="str">
        <x:f>IF(Q96="","",Q96-G96)</x:f>
      </x:c>
      <x:c r="S96" s="90"/>
      <x:c r="T96" s="91" t="str">
        <x:f>IF(OR(H96="",S96=""),"",S96-H96)</x:f>
      </x:c>
      <x:c r="U96" s="94"/>
      <x:c r="V96" s="100" t="str">
        <x:f>IF(I96="","",IF(ABS(J96)&lt;=5,"PASS","FAIL"))</x:f>
      </x:c>
      <x:c r="W96" s="100" t="str">
        <x:f>IF(K96="","",IF(ABS(L96)&lt;=5,"PASS","FAIL"))</x:f>
      </x:c>
      <x:c r="X96" s="100" t="str">
        <x:f>IF(M96="","",IF(ABS(N96)&lt;=1,"PASS","FAIL"))</x:f>
      </x:c>
      <x:c r="Y96" s="100" t="str">
        <x:f>IF(OR(O96="",Q96="",IF(H96="",FALSE,S96="")),"",IF(AND(ABS(P96)&lt;=5,ABS(R96)&lt;=5,IF(H96="",TRUE,ABS(T96)&lt;=5)),"PASS","FAIL"))</x:f>
      </x:c>
      <x:c r="Z96" s="100" t="str">
        <x:f>IF(U96="","",IF(U96&lt;=2000,"PASS","FAIL"))</x:f>
      </x:c>
      <x:c r="AA96" s="101" t="str">
        <x:f>IF(COUNTBLANK(V96:Z96)&gt;0,"",IF(COUNTIF(V96:Z96,"FAIL")=0,"PASS","FAIL"))</x:f>
      </x:c>
    </x:row>
    <x:row r="97">
      <x:c r="A97" s="96" t="n">
        <x:f>'测试用例'!A97</x:f>
        <x:v>93</x:v>
      </x:c>
      <x:c r="B97" s="97" t="n">
        <x:f>'测试用例'!B97</x:f>
        <x:v>3</x:v>
      </x:c>
      <x:c r="C97" s="58" t="n">
        <x:f>'测试用例'!E97</x:f>
        <x:v>100</x:v>
      </x:c>
      <x:c r="D97" s="58" t="n">
        <x:f>'测试用例'!W97</x:f>
        <x:v>30.05547453502717</x:v>
      </x:c>
      <x:c r="E97" s="58" t="n">
        <x:f>'测试用例'!F97</x:f>
        <x:v>41.5</x:v>
      </x:c>
      <x:c r="F97" s="58" t="n">
        <x:f>'测试用例'!Q97</x:f>
        <x:v>32.28655918805139</x:v>
      </x:c>
      <x:c r="G97" s="58" t="n">
        <x:f>'测试用例'!S97</x:f>
        <x:v>24.40863874616685</x:v>
      </x:c>
      <x:c r="H97" s="58" t="n">
        <x:f>'测试用例'!U97</x:f>
        <x:v>12.97919679359666</x:v>
      </x:c>
      <x:c r="I97" s="90"/>
      <x:c r="J97" s="91" t="str">
        <x:f>IF(I97="","",I97-C97)</x:f>
      </x:c>
      <x:c r="K97" s="90"/>
      <x:c r="L97" s="91" t="str">
        <x:f>IF(K97="","",K97-D97)</x:f>
      </x:c>
      <x:c r="M97" s="90"/>
      <x:c r="N97" s="91" t="str">
        <x:f>IF(M97="","",M97-E97)</x:f>
      </x:c>
      <x:c r="O97" s="90"/>
      <x:c r="P97" s="91" t="str">
        <x:f>IF(O97="","",O97-F97)</x:f>
      </x:c>
      <x:c r="Q97" s="90"/>
      <x:c r="R97" s="91" t="str">
        <x:f>IF(Q97="","",Q97-G97)</x:f>
      </x:c>
      <x:c r="S97" s="90"/>
      <x:c r="T97" s="91" t="str">
        <x:f>IF(OR(H97="",S97=""),"",S97-H97)</x:f>
      </x:c>
      <x:c r="U97" s="94"/>
      <x:c r="V97" s="100" t="str">
        <x:f>IF(I97="","",IF(ABS(J97)&lt;=5,"PASS","FAIL"))</x:f>
      </x:c>
      <x:c r="W97" s="100" t="str">
        <x:f>IF(K97="","",IF(ABS(L97)&lt;=5,"PASS","FAIL"))</x:f>
      </x:c>
      <x:c r="X97" s="100" t="str">
        <x:f>IF(M97="","",IF(ABS(N97)&lt;=1,"PASS","FAIL"))</x:f>
      </x:c>
      <x:c r="Y97" s="100" t="str">
        <x:f>IF(OR(O97="",Q97="",IF(H97="",FALSE,S97="")),"",IF(AND(ABS(P97)&lt;=5,ABS(R97)&lt;=5,IF(H97="",TRUE,ABS(T97)&lt;=5)),"PASS","FAIL"))</x:f>
      </x:c>
      <x:c r="Z97" s="100" t="str">
        <x:f>IF(U97="","",IF(U97&lt;=2000,"PASS","FAIL"))</x:f>
      </x:c>
      <x:c r="AA97" s="101" t="str">
        <x:f>IF(COUNTBLANK(V97:Z97)&gt;0,"",IF(COUNTIF(V97:Z97,"FAIL")=0,"PASS","FAIL"))</x:f>
      </x:c>
    </x:row>
    <x:row r="98">
      <x:c r="A98" s="96" t="n">
        <x:f>'测试用例'!A98</x:f>
        <x:v>94</x:v>
      </x:c>
      <x:c r="B98" s="97" t="n">
        <x:f>'测试用例'!B98</x:f>
        <x:v>3</x:v>
      </x:c>
      <x:c r="C98" s="58" t="n">
        <x:f>'测试用例'!E98</x:f>
        <x:v>125</x:v>
      </x:c>
      <x:c r="D98" s="58" t="n">
        <x:f>'测试用例'!W98</x:f>
        <x:v>34.074534002270106</x:v>
      </x:c>
      <x:c r="E98" s="58" t="n">
        <x:f>'测试用例'!F98</x:f>
        <x:v>50.5</x:v>
      </x:c>
      <x:c r="F98" s="58" t="n">
        <x:f>'测试用例'!Q98</x:f>
        <x:v>32.469641976384715</x:v>
      </x:c>
      <x:c r="G98" s="58" t="n">
        <x:f>'测试用例'!S98</x:f>
        <x:v>32.015066988715326</x:v>
      </x:c>
      <x:c r="H98" s="58" t="n">
        <x:f>'测试用例'!U98</x:f>
        <x:v>15.585428148664663</x:v>
      </x:c>
      <x:c r="I98" s="90"/>
      <x:c r="J98" s="91" t="str">
        <x:f>IF(I98="","",I98-C98)</x:f>
      </x:c>
      <x:c r="K98" s="90"/>
      <x:c r="L98" s="91" t="str">
        <x:f>IF(K98="","",K98-D98)</x:f>
      </x:c>
      <x:c r="M98" s="90"/>
      <x:c r="N98" s="91" t="str">
        <x:f>IF(M98="","",M98-E98)</x:f>
      </x:c>
      <x:c r="O98" s="90"/>
      <x:c r="P98" s="91" t="str">
        <x:f>IF(O98="","",O98-F98)</x:f>
      </x:c>
      <x:c r="Q98" s="90"/>
      <x:c r="R98" s="91" t="str">
        <x:f>IF(Q98="","",Q98-G98)</x:f>
      </x:c>
      <x:c r="S98" s="90"/>
      <x:c r="T98" s="91" t="str">
        <x:f>IF(OR(H98="",S98=""),"",S98-H98)</x:f>
      </x:c>
      <x:c r="U98" s="94"/>
      <x:c r="V98" s="100" t="str">
        <x:f>IF(I98="","",IF(ABS(J98)&lt;=5,"PASS","FAIL"))</x:f>
      </x:c>
      <x:c r="W98" s="100" t="str">
        <x:f>IF(K98="","",IF(ABS(L98)&lt;=5,"PASS","FAIL"))</x:f>
      </x:c>
      <x:c r="X98" s="100" t="str">
        <x:f>IF(M98="","",IF(ABS(N98)&lt;=1,"PASS","FAIL"))</x:f>
      </x:c>
      <x:c r="Y98" s="100" t="str">
        <x:f>IF(OR(O98="",Q98="",IF(H98="",FALSE,S98="")),"",IF(AND(ABS(P98)&lt;=5,ABS(R98)&lt;=5,IF(H98="",TRUE,ABS(T98)&lt;=5)),"PASS","FAIL"))</x:f>
      </x:c>
      <x:c r="Z98" s="100" t="str">
        <x:f>IF(U98="","",IF(U98&lt;=2000,"PASS","FAIL"))</x:f>
      </x:c>
      <x:c r="AA98" s="101" t="str">
        <x:f>IF(COUNTBLANK(V98:Z98)&gt;0,"",IF(COUNTIF(V98:Z98,"FAIL")=0,"PASS","FAIL"))</x:f>
      </x:c>
    </x:row>
    <x:row r="99">
      <x:c r="A99" s="96" t="n">
        <x:f>'测试用例'!A99</x:f>
        <x:v>95</x:v>
      </x:c>
      <x:c r="B99" s="97" t="n">
        <x:f>'测试用例'!B99</x:f>
        <x:v>3</x:v>
      </x:c>
      <x:c r="C99" s="58" t="n">
        <x:f>'测试用例'!E99</x:f>
        <x:v>150</x:v>
      </x:c>
      <x:c r="D99" s="58" t="n">
        <x:f>'测试用例'!W99</x:f>
        <x:v>43.636558468376414</x:v>
      </x:c>
      <x:c r="E99" s="58" t="n">
        <x:f>'测试用例'!F99</x:f>
        <x:v>67.5</x:v>
      </x:c>
      <x:c r="F99" s="58" t="n">
        <x:f>'测试用例'!Q99</x:f>
        <x:v>59.13982913005741</x:v>
      </x:c>
      <x:c r="G99" s="58" t="n">
        <x:f>'测试用例'!S99</x:f>
        <x:v>15.435495402944984</x:v>
      </x:c>
      <x:c r="H99" s="58" t="n">
        <x:f>'测试用例'!U99</x:f>
        <x:v>8.516135394728266</x:v>
      </x:c>
      <x:c r="I99" s="90"/>
      <x:c r="J99" s="91" t="str">
        <x:f>IF(I99="","",I99-C99)</x:f>
      </x:c>
      <x:c r="K99" s="90"/>
      <x:c r="L99" s="91" t="str">
        <x:f>IF(K99="","",K99-D99)</x:f>
      </x:c>
      <x:c r="M99" s="90"/>
      <x:c r="N99" s="91" t="str">
        <x:f>IF(M99="","",M99-E99)</x:f>
      </x:c>
      <x:c r="O99" s="90"/>
      <x:c r="P99" s="91" t="str">
        <x:f>IF(O99="","",O99-F99)</x:f>
      </x:c>
      <x:c r="Q99" s="90"/>
      <x:c r="R99" s="91" t="str">
        <x:f>IF(Q99="","",Q99-G99)</x:f>
      </x:c>
      <x:c r="S99" s="90"/>
      <x:c r="T99" s="91" t="str">
        <x:f>IF(OR(H99="",S99=""),"",S99-H99)</x:f>
      </x:c>
      <x:c r="U99" s="94"/>
      <x:c r="V99" s="100" t="str">
        <x:f>IF(I99="","",IF(ABS(J99)&lt;=5,"PASS","FAIL"))</x:f>
      </x:c>
      <x:c r="W99" s="100" t="str">
        <x:f>IF(K99="","",IF(ABS(L99)&lt;=5,"PASS","FAIL"))</x:f>
      </x:c>
      <x:c r="X99" s="100" t="str">
        <x:f>IF(M99="","",IF(ABS(N99)&lt;=1,"PASS","FAIL"))</x:f>
      </x:c>
      <x:c r="Y99" s="100" t="str">
        <x:f>IF(OR(O99="",Q99="",IF(H99="",FALSE,S99="")),"",IF(AND(ABS(P99)&lt;=5,ABS(R99)&lt;=5,IF(H99="",TRUE,ABS(T99)&lt;=5)),"PASS","FAIL"))</x:f>
      </x:c>
      <x:c r="Z99" s="100" t="str">
        <x:f>IF(U99="","",IF(U99&lt;=2000,"PASS","FAIL"))</x:f>
      </x:c>
      <x:c r="AA99" s="101" t="str">
        <x:f>IF(COUNTBLANK(V99:Z99)&gt;0,"",IF(COUNTIF(V99:Z99,"FAIL")=0,"PASS","FAIL"))</x:f>
      </x:c>
    </x:row>
    <x:row r="100">
      <x:c r="A100" s="96" t="n">
        <x:f>'测试用例'!A100</x:f>
        <x:v>96</x:v>
      </x:c>
      <x:c r="B100" s="97" t="n">
        <x:f>'测试用例'!B100</x:f>
        <x:v>3</x:v>
      </x:c>
      <x:c r="C100" s="58" t="n">
        <x:f>'测试用例'!E100</x:f>
        <x:v>175</x:v>
      </x:c>
      <x:c r="D100" s="58" t="n">
        <x:f>'测试用例'!W100</x:f>
        <x:v>42.48941087541356</x:v>
      </x:c>
      <x:c r="E100" s="58" t="n">
        <x:f>'测试用例'!F100</x:f>
        <x:v>68.5</x:v>
      </x:c>
      <x:c r="F100" s="58" t="n">
        <x:f>'测试用例'!Q100</x:f>
        <x:v>54.632844817013144</x:v>
      </x:c>
      <x:c r="G100" s="58" t="n">
        <x:f>'测试用例'!S100</x:f>
        <x:v>22.344833530158375</x:v>
      </x:c>
      <x:c r="H100" s="58" t="n">
        <x:f>'测试用例'!U100</x:f>
        <x:v>11.254366032304707</x:v>
      </x:c>
      <x:c r="I100" s="90"/>
      <x:c r="J100" s="91" t="str">
        <x:f>IF(I100="","",I100-C100)</x:f>
      </x:c>
      <x:c r="K100" s="90"/>
      <x:c r="L100" s="91" t="str">
        <x:f>IF(K100="","",K100-D100)</x:f>
      </x:c>
      <x:c r="M100" s="90"/>
      <x:c r="N100" s="91" t="str">
        <x:f>IF(M100="","",M100-E100)</x:f>
      </x:c>
      <x:c r="O100" s="90"/>
      <x:c r="P100" s="91" t="str">
        <x:f>IF(O100="","",O100-F100)</x:f>
      </x:c>
      <x:c r="Q100" s="90"/>
      <x:c r="R100" s="91" t="str">
        <x:f>IF(Q100="","",Q100-G100)</x:f>
      </x:c>
      <x:c r="S100" s="90"/>
      <x:c r="T100" s="91" t="str">
        <x:f>IF(OR(H100="",S100=""),"",S100-H100)</x:f>
      </x:c>
      <x:c r="U100" s="94"/>
      <x:c r="V100" s="100" t="str">
        <x:f>IF(I100="","",IF(ABS(J100)&lt;=5,"PASS","FAIL"))</x:f>
      </x:c>
      <x:c r="W100" s="100" t="str">
        <x:f>IF(K100="","",IF(ABS(L100)&lt;=5,"PASS","FAIL"))</x:f>
      </x:c>
      <x:c r="X100" s="100" t="str">
        <x:f>IF(M100="","",IF(ABS(N100)&lt;=1,"PASS","FAIL"))</x:f>
      </x:c>
      <x:c r="Y100" s="100" t="str">
        <x:f>IF(OR(O100="",Q100="",IF(H100="",FALSE,S100="")),"",IF(AND(ABS(P100)&lt;=5,ABS(R100)&lt;=5,IF(H100="",TRUE,ABS(T100)&lt;=5)),"PASS","FAIL"))</x:f>
      </x:c>
      <x:c r="Z100" s="100" t="str">
        <x:f>IF(U100="","",IF(U100&lt;=2000,"PASS","FAIL"))</x:f>
      </x:c>
      <x:c r="AA100" s="101" t="str">
        <x:f>IF(COUNTBLANK(V100:Z100)&gt;0,"",IF(COUNTIF(V100:Z100,"FAIL")=0,"PASS","FAIL"))</x:f>
      </x:c>
    </x:row>
    <x:row r="101">
      <x:c r="A101" s="96" t="n">
        <x:f>'测试用例'!A101</x:f>
        <x:v>97</x:v>
      </x:c>
      <x:c r="B101" s="97" t="n">
        <x:f>'测试用例'!B101</x:f>
        <x:v>3</x:v>
      </x:c>
      <x:c r="C101" s="58" t="n">
        <x:f>'测试用例'!E101</x:f>
        <x:v>200</x:v>
      </x:c>
      <x:c r="D101" s="58" t="n">
        <x:f>'测试用例'!W101</x:f>
        <x:v>54.21920116504305</x:v>
      </x:c>
      <x:c r="E101" s="58" t="n">
        <x:f>'测试用例'!F101</x:f>
        <x:v>82</x:v>
      </x:c>
      <x:c r="F101" s="58" t="n">
        <x:f>'测试用例'!Q101</x:f>
        <x:v>66.21091618524979</x:v>
      </x:c>
      <x:c r="G101" s="58" t="n">
        <x:f>'测试用例'!S101</x:f>
        <x:v>33.56893450592164</x:v>
      </x:c>
      <x:c r="H101" s="58" t="n">
        <x:f>'测试用例'!U101</x:f>
        <x:v>19.201165693722437</x:v>
      </x:c>
      <x:c r="I101" s="90"/>
      <x:c r="J101" s="91" t="str">
        <x:f>IF(I101="","",I101-C101)</x:f>
      </x:c>
      <x:c r="K101" s="90"/>
      <x:c r="L101" s="91" t="str">
        <x:f>IF(K101="","",K101-D101)</x:f>
      </x:c>
      <x:c r="M101" s="90"/>
      <x:c r="N101" s="91" t="str">
        <x:f>IF(M101="","",M101-E101)</x:f>
      </x:c>
      <x:c r="O101" s="90"/>
      <x:c r="P101" s="91" t="str">
        <x:f>IF(O101="","",O101-F101)</x:f>
      </x:c>
      <x:c r="Q101" s="90"/>
      <x:c r="R101" s="91" t="str">
        <x:f>IF(Q101="","",Q101-G101)</x:f>
      </x:c>
      <x:c r="S101" s="90"/>
      <x:c r="T101" s="91" t="str">
        <x:f>IF(OR(H101="",S101=""),"",S101-H101)</x:f>
      </x:c>
      <x:c r="U101" s="94"/>
      <x:c r="V101" s="100" t="str">
        <x:f>IF(I101="","",IF(ABS(J101)&lt;=5,"PASS","FAIL"))</x:f>
      </x:c>
      <x:c r="W101" s="100" t="str">
        <x:f>IF(K101="","",IF(ABS(L101)&lt;=5,"PASS","FAIL"))</x:f>
      </x:c>
      <x:c r="X101" s="100" t="str">
        <x:f>IF(M101="","",IF(ABS(N101)&lt;=1,"PASS","FAIL"))</x:f>
      </x:c>
      <x:c r="Y101" s="100" t="str">
        <x:f>IF(OR(O101="",Q101="",IF(H101="",FALSE,S101="")),"",IF(AND(ABS(P101)&lt;=5,ABS(R101)&lt;=5,IF(H101="",TRUE,ABS(T101)&lt;=5)),"PASS","FAIL"))</x:f>
      </x:c>
      <x:c r="Z101" s="100" t="str">
        <x:f>IF(U101="","",IF(U101&lt;=2000,"PASS","FAIL"))</x:f>
      </x:c>
      <x:c r="AA101" s="101" t="str">
        <x:f>IF(COUNTBLANK(V101:Z101)&gt;0,"",IF(COUNTIF(V101:Z101,"FAIL")=0,"PASS","FAIL"))</x:f>
      </x:c>
    </x:row>
    <x:row r="102">
      <x:c r="A102" s="96" t="n">
        <x:f>'测试用例'!A102</x:f>
        <x:v>98</x:v>
      </x:c>
      <x:c r="B102" s="97" t="n">
        <x:f>'测试用例'!B102</x:f>
        <x:v>3</x:v>
      </x:c>
      <x:c r="C102" s="58" t="n">
        <x:f>'测试用例'!E102</x:f>
        <x:v>225</x:v>
      </x:c>
      <x:c r="D102" s="58" t="n">
        <x:f>'测试用例'!W102</x:f>
        <x:v>64.94620704074566</x:v>
      </x:c>
      <x:c r="E102" s="58" t="n">
        <x:f>'测试用例'!F102</x:f>
        <x:v>238</x:v>
      </x:c>
      <x:c r="F102" s="58" t="n">
        <x:f>'测试用例'!Q102</x:f>
        <x:v>72.21159069801347</x:v>
      </x:c>
      <x:c r="G102" s="58" t="n">
        <x:f>'测试用例'!S102</x:f>
        <x:v>56.75831028863859</x:v>
      </x:c>
      <x:c r="H102" s="58" t="str">
        <x:f>'测试用例'!U102</x:f>
      </x:c>
      <x:c r="I102" s="90"/>
      <x:c r="J102" s="91" t="str">
        <x:f>IF(I102="","",I102-C102)</x:f>
      </x:c>
      <x:c r="K102" s="90"/>
      <x:c r="L102" s="91" t="str">
        <x:f>IF(K102="","",K102-D102)</x:f>
      </x:c>
      <x:c r="M102" s="90"/>
      <x:c r="N102" s="91" t="str">
        <x:f>IF(M102="","",M102-E102)</x:f>
      </x:c>
      <x:c r="O102" s="90"/>
      <x:c r="P102" s="91" t="str">
        <x:f>IF(O102="","",O102-F102)</x:f>
      </x:c>
      <x:c r="Q102" s="90"/>
      <x:c r="R102" s="91" t="str">
        <x:f>IF(Q102="","",Q102-G102)</x:f>
      </x:c>
      <x:c r="S102" s="90"/>
      <x:c r="T102" s="91" t="str">
        <x:f>IF(OR(H102="",S102=""),"",S102-H102)</x:f>
      </x:c>
      <x:c r="U102" s="94"/>
      <x:c r="V102" s="100" t="str">
        <x:f>IF(I102="","",IF(ABS(J102)&lt;=5,"PASS","FAIL"))</x:f>
      </x:c>
      <x:c r="W102" s="100" t="str">
        <x:f>IF(K102="","",IF(ABS(L102)&lt;=5,"PASS","FAIL"))</x:f>
      </x:c>
      <x:c r="X102" s="100" t="str">
        <x:f>IF(M102="","",IF(ABS(N102)&lt;=1,"PASS","FAIL"))</x:f>
      </x:c>
      <x:c r="Y102" s="100" t="str">
        <x:f>IF(OR(O102="",Q102="",IF(H102="",FALSE,S102="")),"",IF(AND(ABS(P102)&lt;=5,ABS(R102)&lt;=5,IF(H102="",TRUE,ABS(T102)&lt;=5)),"PASS","FAIL"))</x:f>
      </x:c>
      <x:c r="Z102" s="100" t="str">
        <x:f>IF(U102="","",IF(U102&lt;=2000,"PASS","FAIL"))</x:f>
      </x:c>
      <x:c r="AA102" s="101" t="str">
        <x:f>IF(COUNTBLANK(V102:Z102)&gt;0,"",IF(COUNTIF(V102:Z102,"FAIL")=0,"PASS","FAIL"))</x:f>
      </x:c>
    </x:row>
    <x:row r="103">
      <x:c r="A103" s="96" t="n">
        <x:f>'测试用例'!A103</x:f>
        <x:v>99</x:v>
      </x:c>
      <x:c r="B103" s="97" t="n">
        <x:f>'测试用例'!B103</x:f>
        <x:v>3</x:v>
      </x:c>
      <x:c r="C103" s="58" t="n">
        <x:f>'测试用例'!E103</x:f>
        <x:v>240</x:v>
      </x:c>
      <x:c r="D103" s="58" t="n">
        <x:f>'测试用例'!W103</x:f>
        <x:v>69.24760729071508</x:v>
      </x:c>
      <x:c r="E103" s="58" t="n">
        <x:f>'测试用例'!F103</x:f>
        <x:v>166.5</x:v>
      </x:c>
      <x:c r="F103" s="58" t="n">
        <x:f>'测试用例'!Q103</x:f>
        <x:v>69.24760729071508</x:v>
      </x:c>
      <x:c r="G103" s="58" t="n">
        <x:f>'测试用例'!S103</x:f>
        <x:v>69.24760729071508</x:v>
      </x:c>
      <x:c r="H103" s="58" t="str">
        <x:f>'测试用例'!U103</x:f>
      </x:c>
      <x:c r="I103" s="90"/>
      <x:c r="J103" s="91" t="str">
        <x:f>IF(I103="","",I103-C103)</x:f>
      </x:c>
      <x:c r="K103" s="90"/>
      <x:c r="L103" s="91" t="str">
        <x:f>IF(K103="","",K103-D103)</x:f>
      </x:c>
      <x:c r="M103" s="90"/>
      <x:c r="N103" s="91" t="str">
        <x:f>IF(M103="","",M103-E103)</x:f>
      </x:c>
      <x:c r="O103" s="90"/>
      <x:c r="P103" s="91" t="str">
        <x:f>IF(O103="","",O103-F103)</x:f>
      </x:c>
      <x:c r="Q103" s="90"/>
      <x:c r="R103" s="91" t="str">
        <x:f>IF(Q103="","",Q103-G103)</x:f>
      </x:c>
      <x:c r="S103" s="90"/>
      <x:c r="T103" s="91" t="str">
        <x:f>IF(OR(H103="",S103=""),"",S103-H103)</x:f>
      </x:c>
      <x:c r="U103" s="94"/>
      <x:c r="V103" s="100" t="str">
        <x:f>IF(I103="","",IF(ABS(J103)&lt;=5,"PASS","FAIL"))</x:f>
      </x:c>
      <x:c r="W103" s="100" t="str">
        <x:f>IF(K103="","",IF(ABS(L103)&lt;=5,"PASS","FAIL"))</x:f>
      </x:c>
      <x:c r="X103" s="100" t="str">
        <x:f>IF(M103="","",IF(ABS(N103)&lt;=1,"PASS","FAIL"))</x:f>
      </x:c>
      <x:c r="Y103" s="100" t="str">
        <x:f>IF(OR(O103="",Q103="",IF(H103="",FALSE,S103="")),"",IF(AND(ABS(P103)&lt;=5,ABS(R103)&lt;=5,IF(H103="",TRUE,ABS(T103)&lt;=5)),"PASS","FAIL"))</x:f>
      </x:c>
      <x:c r="Z103" s="100" t="str">
        <x:f>IF(U103="","",IF(U103&lt;=2000,"PASS","FAIL"))</x:f>
      </x:c>
      <x:c r="AA103" s="101" t="str">
        <x:f>IF(COUNTBLANK(V103:Z103)&gt;0,"",IF(COUNTIF(V103:Z103,"FAIL")=0,"PASS","FAIL"))</x:f>
      </x:c>
    </x:row>
    <x:row r="104">
      <x:c r="A104" s="98" t="n">
        <x:f>'测试用例'!A104</x:f>
        <x:v>100</x:v>
      </x:c>
      <x:c r="B104" s="99" t="n">
        <x:f>'测试用例'!B104</x:f>
        <x:v>3</x:v>
      </x:c>
      <x:c r="C104" s="59" t="n">
        <x:f>'测试用例'!E104</x:f>
        <x:v>250</x:v>
      </x:c>
      <x:c r="D104" s="59" t="n">
        <x:f>'测试用例'!W104</x:f>
        <x:v>79.82222450624167</x:v>
      </x:c>
      <x:c r="E104" s="59" t="n">
        <x:f>'测试用例'!F104</x:f>
        <x:v>10</x:v>
      </x:c>
      <x:c r="F104" s="59" t="n">
        <x:f>'测试用例'!Q104</x:f>
        <x:v>109.0650246059414</x:v>
      </x:c>
      <x:c r="G104" s="59" t="n">
        <x:f>'测试用例'!S104</x:f>
        <x:v>29.120361569786358</x:v>
      </x:c>
      <x:c r="H104" s="59" t="n">
        <x:f>'测试用例'!U104</x:f>
        <x:v>0</x:v>
      </x:c>
      <x:c r="I104" s="92"/>
      <x:c r="J104" s="93" t="str">
        <x:f>IF(I104="","",I104-C104)</x:f>
      </x:c>
      <x:c r="K104" s="92"/>
      <x:c r="L104" s="93" t="str">
        <x:f>IF(K104="","",K104-D104)</x:f>
      </x:c>
      <x:c r="M104" s="92"/>
      <x:c r="N104" s="93" t="str">
        <x:f>IF(M104="","",M104-E104)</x:f>
      </x:c>
      <x:c r="O104" s="92"/>
      <x:c r="P104" s="93" t="str">
        <x:f>IF(O104="","",O104-F104)</x:f>
      </x:c>
      <x:c r="Q104" s="92"/>
      <x:c r="R104" s="93" t="str">
        <x:f>IF(Q104="","",Q104-G104)</x:f>
      </x:c>
      <x:c r="S104" s="92"/>
      <x:c r="T104" s="93" t="str">
        <x:f>IF(OR(H104="",S104=""),"",S104-H104)</x:f>
      </x:c>
      <x:c r="U104" s="95"/>
      <x:c r="V104" s="102" t="str">
        <x:f>IF(I104="","",IF(ABS(J104)&lt;=5,"PASS","FAIL"))</x:f>
      </x:c>
      <x:c r="W104" s="102" t="str">
        <x:f>IF(K104="","",IF(ABS(L104)&lt;=5,"PASS","FAIL"))</x:f>
      </x:c>
      <x:c r="X104" s="102" t="str">
        <x:f>IF(M104="","",IF(ABS(N104)&lt;=1,"PASS","FAIL"))</x:f>
      </x:c>
      <x:c r="Y104" s="102" t="str">
        <x:f>IF(OR(O104="",Q104="",IF(H104="",FALSE,S104="")),"",IF(AND(ABS(P104)&lt;=5,ABS(R104)&lt;=5,IF(H104="",TRUE,ABS(T104)&lt;=5)),"PASS","FAIL"))</x:f>
      </x:c>
      <x:c r="Z104" s="102" t="str">
        <x:f>IF(U104="","",IF(U104&lt;=2000,"PASS","FAIL"))</x:f>
      </x:c>
      <x:c r="AA104" s="103" t="str">
        <x:f>IF(COUNTBLANK(V104:Z104)&gt;0,"",IF(COUNTIF(V104:Z104,"FAIL")=0,"PASS","FAIL"))</x:f>
      </x:c>
    </x:row>
  </x:sheetData>
  <x:conditionalFormatting sqref="V5:AA104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132c8ae7e0624f75"/>
  </x:tableParts>
</x:worksheet>
</file>